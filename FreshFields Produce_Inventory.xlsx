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hura\Downloads\"/>
    </mc:Choice>
  </mc:AlternateContent>
  <xr:revisionPtr revIDLastSave="0" documentId="8_{727FC5DF-803F-49B6-8BE0-88571F39CB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ndon DC" sheetId="1" r:id="rId1"/>
    <sheet name="Birmingham Hub" sheetId="2" r:id="rId2"/>
    <sheet name="Manchester Depot" sheetId="3" r:id="rId3"/>
    <sheet name="Leeds Warehouse" sheetId="4" r:id="rId4"/>
    <sheet name="Bristol Centre" sheetId="5" r:id="rId5"/>
    <sheet name="Glasgow Hub" sheetId="6" r:id="rId6"/>
    <sheet name="Cardiff Depot" sheetId="7" r:id="rId7"/>
    <sheet name="Nottingham Warehouse" sheetId="8" r:id="rId8"/>
    <sheet name="Southampton Centre" sheetId="9" r:id="rId9"/>
    <sheet name="Newcastle Hub" sheetId="10" r:id="rId10"/>
  </sheets>
  <definedNames>
    <definedName name="_xlnm.Print_Titles" localSheetId="1">'Birmingham Hub'!$1:$4</definedName>
    <definedName name="_xlnm.Print_Titles" localSheetId="4">'Bristol Centre'!$1:$4</definedName>
    <definedName name="_xlnm.Print_Titles" localSheetId="6">'Cardiff Depot'!$1:$4</definedName>
    <definedName name="_xlnm.Print_Titles" localSheetId="5">'Glasgow Hub'!$1:$4</definedName>
    <definedName name="_xlnm.Print_Titles" localSheetId="3">'Leeds Warehouse'!$1:$4</definedName>
    <definedName name="_xlnm.Print_Titles" localSheetId="0">'London DC'!$1:$4</definedName>
    <definedName name="_xlnm.Print_Titles" localSheetId="2">'Manchester Depot'!$1:$4</definedName>
    <definedName name="_xlnm.Print_Titles" localSheetId="9">'Newcastle Hub'!$1:$4</definedName>
    <definedName name="_xlnm.Print_Titles" localSheetId="7">'Nottingham Warehouse'!$1:$4</definedName>
    <definedName name="_xlnm.Print_Titles" localSheetId="8">'Southampton Centre'!$1:$4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" i="10" l="1"/>
  <c r="M28" i="10"/>
  <c r="I28" i="10"/>
  <c r="Y28" i="10" s="1"/>
  <c r="S27" i="10"/>
  <c r="M27" i="10"/>
  <c r="I27" i="10"/>
  <c r="Y27" i="10" s="1"/>
  <c r="S26" i="10"/>
  <c r="M26" i="10"/>
  <c r="I26" i="10"/>
  <c r="Y26" i="10" s="1"/>
  <c r="S25" i="10"/>
  <c r="M25" i="10"/>
  <c r="I25" i="10"/>
  <c r="Y25" i="10" s="1"/>
  <c r="S24" i="10"/>
  <c r="M24" i="10"/>
  <c r="I24" i="10"/>
  <c r="Y24" i="10" s="1"/>
  <c r="S23" i="10"/>
  <c r="M23" i="10"/>
  <c r="I23" i="10"/>
  <c r="Y23" i="10" s="1"/>
  <c r="S22" i="10"/>
  <c r="M22" i="10"/>
  <c r="I22" i="10"/>
  <c r="Y22" i="10" s="1"/>
  <c r="S21" i="10"/>
  <c r="M21" i="10"/>
  <c r="I21" i="10"/>
  <c r="Y21" i="10" s="1"/>
  <c r="S20" i="10"/>
  <c r="M20" i="10"/>
  <c r="I20" i="10"/>
  <c r="Y20" i="10" s="1"/>
  <c r="S19" i="10"/>
  <c r="M19" i="10"/>
  <c r="I19" i="10"/>
  <c r="Y19" i="10" s="1"/>
  <c r="S18" i="10"/>
  <c r="M18" i="10"/>
  <c r="I18" i="10"/>
  <c r="Y18" i="10" s="1"/>
  <c r="S17" i="10"/>
  <c r="M17" i="10"/>
  <c r="I17" i="10"/>
  <c r="Y17" i="10" s="1"/>
  <c r="S16" i="10"/>
  <c r="M16" i="10"/>
  <c r="I16" i="10"/>
  <c r="Y16" i="10" s="1"/>
  <c r="S15" i="10"/>
  <c r="M15" i="10"/>
  <c r="I15" i="10"/>
  <c r="Y15" i="10" s="1"/>
  <c r="S14" i="10"/>
  <c r="M14" i="10"/>
  <c r="I14" i="10"/>
  <c r="Y14" i="10" s="1"/>
  <c r="S13" i="10"/>
  <c r="M13" i="10"/>
  <c r="I13" i="10"/>
  <c r="Y13" i="10" s="1"/>
  <c r="S12" i="10"/>
  <c r="M12" i="10"/>
  <c r="I12" i="10"/>
  <c r="Y12" i="10" s="1"/>
  <c r="S11" i="10"/>
  <c r="M11" i="10"/>
  <c r="I11" i="10"/>
  <c r="Y11" i="10" s="1"/>
  <c r="S10" i="10"/>
  <c r="M10" i="10"/>
  <c r="I10" i="10"/>
  <c r="Y10" i="10" s="1"/>
  <c r="S9" i="10"/>
  <c r="M9" i="10"/>
  <c r="I9" i="10"/>
  <c r="Y9" i="10" s="1"/>
  <c r="S8" i="10"/>
  <c r="M8" i="10"/>
  <c r="I8" i="10"/>
  <c r="Y8" i="10" s="1"/>
  <c r="S7" i="10"/>
  <c r="M7" i="10"/>
  <c r="I7" i="10"/>
  <c r="Y7" i="10" s="1"/>
  <c r="S6" i="10"/>
  <c r="M6" i="10"/>
  <c r="I6" i="10"/>
  <c r="Y6" i="10" s="1"/>
  <c r="S5" i="10"/>
  <c r="M5" i="10"/>
  <c r="I5" i="10"/>
  <c r="Y5" i="10" s="1"/>
  <c r="S28" i="9"/>
  <c r="M28" i="9"/>
  <c r="I28" i="9"/>
  <c r="Y28" i="9" s="1"/>
  <c r="S27" i="9"/>
  <c r="M27" i="9"/>
  <c r="I27" i="9"/>
  <c r="Y27" i="9" s="1"/>
  <c r="S26" i="9"/>
  <c r="M26" i="9"/>
  <c r="I26" i="9"/>
  <c r="Y26" i="9" s="1"/>
  <c r="S25" i="9"/>
  <c r="M25" i="9"/>
  <c r="I25" i="9"/>
  <c r="Y25" i="9" s="1"/>
  <c r="S24" i="9"/>
  <c r="M24" i="9"/>
  <c r="I24" i="9"/>
  <c r="Y24" i="9" s="1"/>
  <c r="S23" i="9"/>
  <c r="M23" i="9"/>
  <c r="I23" i="9"/>
  <c r="Y23" i="9" s="1"/>
  <c r="S22" i="9"/>
  <c r="M22" i="9"/>
  <c r="I22" i="9"/>
  <c r="Y22" i="9" s="1"/>
  <c r="S21" i="9"/>
  <c r="M21" i="9"/>
  <c r="I21" i="9"/>
  <c r="Y21" i="9" s="1"/>
  <c r="S20" i="9"/>
  <c r="M20" i="9"/>
  <c r="I20" i="9"/>
  <c r="Y20" i="9" s="1"/>
  <c r="S19" i="9"/>
  <c r="M19" i="9"/>
  <c r="I19" i="9"/>
  <c r="Y19" i="9" s="1"/>
  <c r="S18" i="9"/>
  <c r="M18" i="9"/>
  <c r="I18" i="9"/>
  <c r="Y18" i="9" s="1"/>
  <c r="S17" i="9"/>
  <c r="M17" i="9"/>
  <c r="I17" i="9"/>
  <c r="Y17" i="9" s="1"/>
  <c r="S16" i="9"/>
  <c r="M16" i="9"/>
  <c r="I16" i="9"/>
  <c r="Y16" i="9" s="1"/>
  <c r="S15" i="9"/>
  <c r="M15" i="9"/>
  <c r="I15" i="9"/>
  <c r="Y15" i="9" s="1"/>
  <c r="S14" i="9"/>
  <c r="M14" i="9"/>
  <c r="I14" i="9"/>
  <c r="Y14" i="9" s="1"/>
  <c r="S13" i="9"/>
  <c r="M13" i="9"/>
  <c r="I13" i="9"/>
  <c r="Y13" i="9" s="1"/>
  <c r="S12" i="9"/>
  <c r="M12" i="9"/>
  <c r="I12" i="9"/>
  <c r="Y12" i="9" s="1"/>
  <c r="S11" i="9"/>
  <c r="M11" i="9"/>
  <c r="I11" i="9"/>
  <c r="Y11" i="9" s="1"/>
  <c r="S10" i="9"/>
  <c r="M10" i="9"/>
  <c r="I10" i="9"/>
  <c r="Y10" i="9" s="1"/>
  <c r="S9" i="9"/>
  <c r="M9" i="9"/>
  <c r="I9" i="9"/>
  <c r="Y9" i="9" s="1"/>
  <c r="S8" i="9"/>
  <c r="M8" i="9"/>
  <c r="I8" i="9"/>
  <c r="Y8" i="9" s="1"/>
  <c r="S7" i="9"/>
  <c r="M7" i="9"/>
  <c r="I7" i="9"/>
  <c r="Y7" i="9" s="1"/>
  <c r="S6" i="9"/>
  <c r="M6" i="9"/>
  <c r="I6" i="9"/>
  <c r="Y6" i="9" s="1"/>
  <c r="S5" i="9"/>
  <c r="M5" i="9"/>
  <c r="I5" i="9"/>
  <c r="Y5" i="9" s="1"/>
  <c r="S28" i="8"/>
  <c r="M28" i="8"/>
  <c r="I28" i="8"/>
  <c r="Y28" i="8" s="1"/>
  <c r="S27" i="8"/>
  <c r="M27" i="8"/>
  <c r="I27" i="8"/>
  <c r="Y27" i="8" s="1"/>
  <c r="S26" i="8"/>
  <c r="M26" i="8"/>
  <c r="I26" i="8"/>
  <c r="Y26" i="8" s="1"/>
  <c r="S25" i="8"/>
  <c r="M25" i="8"/>
  <c r="I25" i="8"/>
  <c r="Y25" i="8" s="1"/>
  <c r="S24" i="8"/>
  <c r="M24" i="8"/>
  <c r="I24" i="8"/>
  <c r="Y24" i="8" s="1"/>
  <c r="S23" i="8"/>
  <c r="M23" i="8"/>
  <c r="I23" i="8"/>
  <c r="Y23" i="8" s="1"/>
  <c r="S22" i="8"/>
  <c r="M22" i="8"/>
  <c r="I22" i="8"/>
  <c r="Y22" i="8" s="1"/>
  <c r="S21" i="8"/>
  <c r="M21" i="8"/>
  <c r="I21" i="8"/>
  <c r="Y21" i="8" s="1"/>
  <c r="S20" i="8"/>
  <c r="M20" i="8"/>
  <c r="I20" i="8"/>
  <c r="Y20" i="8" s="1"/>
  <c r="S19" i="8"/>
  <c r="M19" i="8"/>
  <c r="I19" i="8"/>
  <c r="Y19" i="8" s="1"/>
  <c r="S18" i="8"/>
  <c r="M18" i="8"/>
  <c r="I18" i="8"/>
  <c r="Y18" i="8" s="1"/>
  <c r="S17" i="8"/>
  <c r="M17" i="8"/>
  <c r="I17" i="8"/>
  <c r="Y17" i="8" s="1"/>
  <c r="S16" i="8"/>
  <c r="M16" i="8"/>
  <c r="I16" i="8"/>
  <c r="Y16" i="8" s="1"/>
  <c r="S15" i="8"/>
  <c r="M15" i="8"/>
  <c r="I15" i="8"/>
  <c r="Y15" i="8" s="1"/>
  <c r="S14" i="8"/>
  <c r="M14" i="8"/>
  <c r="I14" i="8"/>
  <c r="Y14" i="8" s="1"/>
  <c r="S13" i="8"/>
  <c r="M13" i="8"/>
  <c r="I13" i="8"/>
  <c r="Y13" i="8" s="1"/>
  <c r="S12" i="8"/>
  <c r="M12" i="8"/>
  <c r="I12" i="8"/>
  <c r="Y12" i="8" s="1"/>
  <c r="S11" i="8"/>
  <c r="M11" i="8"/>
  <c r="I11" i="8"/>
  <c r="Y11" i="8" s="1"/>
  <c r="S10" i="8"/>
  <c r="M10" i="8"/>
  <c r="I10" i="8"/>
  <c r="Y10" i="8" s="1"/>
  <c r="S9" i="8"/>
  <c r="M9" i="8"/>
  <c r="I9" i="8"/>
  <c r="Y9" i="8" s="1"/>
  <c r="S8" i="8"/>
  <c r="M8" i="8"/>
  <c r="I8" i="8"/>
  <c r="Y8" i="8" s="1"/>
  <c r="S7" i="8"/>
  <c r="M7" i="8"/>
  <c r="I7" i="8"/>
  <c r="Y7" i="8" s="1"/>
  <c r="S6" i="8"/>
  <c r="M6" i="8"/>
  <c r="I6" i="8"/>
  <c r="Y6" i="8" s="1"/>
  <c r="S5" i="8"/>
  <c r="M5" i="8"/>
  <c r="I5" i="8"/>
  <c r="Y5" i="8" s="1"/>
  <c r="S28" i="7"/>
  <c r="M28" i="7"/>
  <c r="I28" i="7"/>
  <c r="Y28" i="7" s="1"/>
  <c r="S27" i="7"/>
  <c r="M27" i="7"/>
  <c r="I27" i="7"/>
  <c r="Y27" i="7" s="1"/>
  <c r="S26" i="7"/>
  <c r="M26" i="7"/>
  <c r="I26" i="7"/>
  <c r="Y26" i="7" s="1"/>
  <c r="S25" i="7"/>
  <c r="M25" i="7"/>
  <c r="I25" i="7"/>
  <c r="Y25" i="7" s="1"/>
  <c r="S24" i="7"/>
  <c r="M24" i="7"/>
  <c r="I24" i="7"/>
  <c r="Y24" i="7" s="1"/>
  <c r="S23" i="7"/>
  <c r="M23" i="7"/>
  <c r="I23" i="7"/>
  <c r="Y23" i="7" s="1"/>
  <c r="S22" i="7"/>
  <c r="M22" i="7"/>
  <c r="I22" i="7"/>
  <c r="Y22" i="7" s="1"/>
  <c r="S21" i="7"/>
  <c r="M21" i="7"/>
  <c r="I21" i="7"/>
  <c r="Y21" i="7" s="1"/>
  <c r="S20" i="7"/>
  <c r="M20" i="7"/>
  <c r="I20" i="7"/>
  <c r="Y20" i="7" s="1"/>
  <c r="S19" i="7"/>
  <c r="M19" i="7"/>
  <c r="I19" i="7"/>
  <c r="Y19" i="7" s="1"/>
  <c r="S18" i="7"/>
  <c r="M18" i="7"/>
  <c r="I18" i="7"/>
  <c r="Y18" i="7" s="1"/>
  <c r="S17" i="7"/>
  <c r="M17" i="7"/>
  <c r="I17" i="7"/>
  <c r="Y17" i="7" s="1"/>
  <c r="S16" i="7"/>
  <c r="M16" i="7"/>
  <c r="I16" i="7"/>
  <c r="Y16" i="7" s="1"/>
  <c r="S15" i="7"/>
  <c r="M15" i="7"/>
  <c r="I15" i="7"/>
  <c r="Y15" i="7" s="1"/>
  <c r="S14" i="7"/>
  <c r="M14" i="7"/>
  <c r="I14" i="7"/>
  <c r="Y14" i="7" s="1"/>
  <c r="S13" i="7"/>
  <c r="M13" i="7"/>
  <c r="I13" i="7"/>
  <c r="Y13" i="7" s="1"/>
  <c r="S12" i="7"/>
  <c r="M12" i="7"/>
  <c r="I12" i="7"/>
  <c r="Y12" i="7" s="1"/>
  <c r="S11" i="7"/>
  <c r="M11" i="7"/>
  <c r="I11" i="7"/>
  <c r="Y11" i="7" s="1"/>
  <c r="S10" i="7"/>
  <c r="M10" i="7"/>
  <c r="I10" i="7"/>
  <c r="Y10" i="7" s="1"/>
  <c r="S9" i="7"/>
  <c r="M9" i="7"/>
  <c r="I9" i="7"/>
  <c r="Y9" i="7" s="1"/>
  <c r="S8" i="7"/>
  <c r="M8" i="7"/>
  <c r="I8" i="7"/>
  <c r="Y8" i="7" s="1"/>
  <c r="S7" i="7"/>
  <c r="M7" i="7"/>
  <c r="I7" i="7"/>
  <c r="Y7" i="7" s="1"/>
  <c r="S6" i="7"/>
  <c r="M6" i="7"/>
  <c r="I6" i="7"/>
  <c r="Y6" i="7" s="1"/>
  <c r="S5" i="7"/>
  <c r="M5" i="7"/>
  <c r="I5" i="7"/>
  <c r="Y5" i="7" s="1"/>
  <c r="S28" i="6"/>
  <c r="M28" i="6"/>
  <c r="I28" i="6"/>
  <c r="Y28" i="6" s="1"/>
  <c r="S27" i="6"/>
  <c r="M27" i="6"/>
  <c r="I27" i="6"/>
  <c r="Y27" i="6" s="1"/>
  <c r="S26" i="6"/>
  <c r="M26" i="6"/>
  <c r="I26" i="6"/>
  <c r="Y26" i="6" s="1"/>
  <c r="S25" i="6"/>
  <c r="M25" i="6"/>
  <c r="I25" i="6"/>
  <c r="Y25" i="6" s="1"/>
  <c r="S24" i="6"/>
  <c r="M24" i="6"/>
  <c r="I24" i="6"/>
  <c r="Y24" i="6" s="1"/>
  <c r="S23" i="6"/>
  <c r="M23" i="6"/>
  <c r="I23" i="6"/>
  <c r="Y23" i="6" s="1"/>
  <c r="S22" i="6"/>
  <c r="M22" i="6"/>
  <c r="I22" i="6"/>
  <c r="Y22" i="6" s="1"/>
  <c r="S21" i="6"/>
  <c r="M21" i="6"/>
  <c r="I21" i="6"/>
  <c r="Y21" i="6" s="1"/>
  <c r="S20" i="6"/>
  <c r="M20" i="6"/>
  <c r="I20" i="6"/>
  <c r="Y20" i="6" s="1"/>
  <c r="S19" i="6"/>
  <c r="M19" i="6"/>
  <c r="I19" i="6"/>
  <c r="Y19" i="6" s="1"/>
  <c r="S18" i="6"/>
  <c r="M18" i="6"/>
  <c r="I18" i="6"/>
  <c r="Y18" i="6" s="1"/>
  <c r="S17" i="6"/>
  <c r="M17" i="6"/>
  <c r="I17" i="6"/>
  <c r="Y17" i="6" s="1"/>
  <c r="S16" i="6"/>
  <c r="M16" i="6"/>
  <c r="I16" i="6"/>
  <c r="Y16" i="6" s="1"/>
  <c r="S15" i="6"/>
  <c r="M15" i="6"/>
  <c r="I15" i="6"/>
  <c r="Y15" i="6" s="1"/>
  <c r="S14" i="6"/>
  <c r="M14" i="6"/>
  <c r="I14" i="6"/>
  <c r="Y14" i="6" s="1"/>
  <c r="S13" i="6"/>
  <c r="M13" i="6"/>
  <c r="I13" i="6"/>
  <c r="Y13" i="6" s="1"/>
  <c r="S12" i="6"/>
  <c r="M12" i="6"/>
  <c r="I12" i="6"/>
  <c r="Y12" i="6" s="1"/>
  <c r="S11" i="6"/>
  <c r="M11" i="6"/>
  <c r="I11" i="6"/>
  <c r="Y11" i="6" s="1"/>
  <c r="S10" i="6"/>
  <c r="M10" i="6"/>
  <c r="I10" i="6"/>
  <c r="Y10" i="6" s="1"/>
  <c r="S9" i="6"/>
  <c r="M9" i="6"/>
  <c r="I9" i="6"/>
  <c r="Y9" i="6" s="1"/>
  <c r="S8" i="6"/>
  <c r="M8" i="6"/>
  <c r="I8" i="6"/>
  <c r="Y8" i="6" s="1"/>
  <c r="S7" i="6"/>
  <c r="M7" i="6"/>
  <c r="I7" i="6"/>
  <c r="Y7" i="6" s="1"/>
  <c r="S6" i="6"/>
  <c r="M6" i="6"/>
  <c r="I6" i="6"/>
  <c r="Y6" i="6" s="1"/>
  <c r="S5" i="6"/>
  <c r="M5" i="6"/>
  <c r="I5" i="6"/>
  <c r="Y5" i="6" s="1"/>
  <c r="S28" i="5"/>
  <c r="M28" i="5"/>
  <c r="I28" i="5"/>
  <c r="Y28" i="5" s="1"/>
  <c r="S27" i="5"/>
  <c r="M27" i="5"/>
  <c r="I27" i="5"/>
  <c r="Y27" i="5" s="1"/>
  <c r="S26" i="5"/>
  <c r="M26" i="5"/>
  <c r="I26" i="5"/>
  <c r="Y26" i="5" s="1"/>
  <c r="S25" i="5"/>
  <c r="M25" i="5"/>
  <c r="I25" i="5"/>
  <c r="Y25" i="5" s="1"/>
  <c r="S24" i="5"/>
  <c r="M24" i="5"/>
  <c r="I24" i="5"/>
  <c r="Y24" i="5" s="1"/>
  <c r="S23" i="5"/>
  <c r="M23" i="5"/>
  <c r="I23" i="5"/>
  <c r="Y23" i="5" s="1"/>
  <c r="S22" i="5"/>
  <c r="M22" i="5"/>
  <c r="I22" i="5"/>
  <c r="Y22" i="5" s="1"/>
  <c r="S21" i="5"/>
  <c r="M21" i="5"/>
  <c r="I21" i="5"/>
  <c r="Y21" i="5" s="1"/>
  <c r="S20" i="5"/>
  <c r="M20" i="5"/>
  <c r="I20" i="5"/>
  <c r="Y20" i="5" s="1"/>
  <c r="S19" i="5"/>
  <c r="M19" i="5"/>
  <c r="I19" i="5"/>
  <c r="Y19" i="5" s="1"/>
  <c r="S18" i="5"/>
  <c r="M18" i="5"/>
  <c r="I18" i="5"/>
  <c r="Y18" i="5" s="1"/>
  <c r="S17" i="5"/>
  <c r="M17" i="5"/>
  <c r="I17" i="5"/>
  <c r="Y17" i="5" s="1"/>
  <c r="S16" i="5"/>
  <c r="M16" i="5"/>
  <c r="I16" i="5"/>
  <c r="Y16" i="5" s="1"/>
  <c r="S15" i="5"/>
  <c r="M15" i="5"/>
  <c r="I15" i="5"/>
  <c r="Y15" i="5" s="1"/>
  <c r="S14" i="5"/>
  <c r="M14" i="5"/>
  <c r="I14" i="5"/>
  <c r="Y14" i="5" s="1"/>
  <c r="S13" i="5"/>
  <c r="M13" i="5"/>
  <c r="I13" i="5"/>
  <c r="Y13" i="5" s="1"/>
  <c r="S12" i="5"/>
  <c r="M12" i="5"/>
  <c r="I12" i="5"/>
  <c r="Y12" i="5" s="1"/>
  <c r="S11" i="5"/>
  <c r="M11" i="5"/>
  <c r="I11" i="5"/>
  <c r="Y11" i="5" s="1"/>
  <c r="S10" i="5"/>
  <c r="M10" i="5"/>
  <c r="I10" i="5"/>
  <c r="Y10" i="5" s="1"/>
  <c r="S9" i="5"/>
  <c r="M9" i="5"/>
  <c r="I9" i="5"/>
  <c r="Y9" i="5" s="1"/>
  <c r="S8" i="5"/>
  <c r="M8" i="5"/>
  <c r="I8" i="5"/>
  <c r="Y8" i="5" s="1"/>
  <c r="S7" i="5"/>
  <c r="M7" i="5"/>
  <c r="I7" i="5"/>
  <c r="Y7" i="5" s="1"/>
  <c r="S6" i="5"/>
  <c r="M6" i="5"/>
  <c r="I6" i="5"/>
  <c r="Y6" i="5" s="1"/>
  <c r="S5" i="5"/>
  <c r="M5" i="5"/>
  <c r="I5" i="5"/>
  <c r="Y5" i="5" s="1"/>
  <c r="S28" i="4"/>
  <c r="M28" i="4"/>
  <c r="I28" i="4"/>
  <c r="Y28" i="4" s="1"/>
  <c r="S27" i="4"/>
  <c r="M27" i="4"/>
  <c r="I27" i="4"/>
  <c r="Y27" i="4" s="1"/>
  <c r="S26" i="4"/>
  <c r="M26" i="4"/>
  <c r="I26" i="4"/>
  <c r="Y26" i="4" s="1"/>
  <c r="S25" i="4"/>
  <c r="M25" i="4"/>
  <c r="I25" i="4"/>
  <c r="Y25" i="4" s="1"/>
  <c r="S24" i="4"/>
  <c r="M24" i="4"/>
  <c r="I24" i="4"/>
  <c r="Y24" i="4" s="1"/>
  <c r="S23" i="4"/>
  <c r="M23" i="4"/>
  <c r="I23" i="4"/>
  <c r="Y23" i="4" s="1"/>
  <c r="S22" i="4"/>
  <c r="M22" i="4"/>
  <c r="I22" i="4"/>
  <c r="Y22" i="4" s="1"/>
  <c r="S21" i="4"/>
  <c r="M21" i="4"/>
  <c r="I21" i="4"/>
  <c r="Y21" i="4" s="1"/>
  <c r="S20" i="4"/>
  <c r="M20" i="4"/>
  <c r="I20" i="4"/>
  <c r="Y20" i="4" s="1"/>
  <c r="S19" i="4"/>
  <c r="M19" i="4"/>
  <c r="I19" i="4"/>
  <c r="Y19" i="4" s="1"/>
  <c r="S18" i="4"/>
  <c r="M18" i="4"/>
  <c r="I18" i="4"/>
  <c r="Y18" i="4" s="1"/>
  <c r="S17" i="4"/>
  <c r="M17" i="4"/>
  <c r="I17" i="4"/>
  <c r="Y17" i="4" s="1"/>
  <c r="S16" i="4"/>
  <c r="M16" i="4"/>
  <c r="I16" i="4"/>
  <c r="Y16" i="4" s="1"/>
  <c r="S15" i="4"/>
  <c r="M15" i="4"/>
  <c r="I15" i="4"/>
  <c r="Y15" i="4" s="1"/>
  <c r="S14" i="4"/>
  <c r="M14" i="4"/>
  <c r="I14" i="4"/>
  <c r="Y14" i="4" s="1"/>
  <c r="S13" i="4"/>
  <c r="M13" i="4"/>
  <c r="I13" i="4"/>
  <c r="Y13" i="4" s="1"/>
  <c r="S12" i="4"/>
  <c r="M12" i="4"/>
  <c r="I12" i="4"/>
  <c r="Y12" i="4" s="1"/>
  <c r="S11" i="4"/>
  <c r="M11" i="4"/>
  <c r="I11" i="4"/>
  <c r="Y11" i="4" s="1"/>
  <c r="S10" i="4"/>
  <c r="M10" i="4"/>
  <c r="I10" i="4"/>
  <c r="Y10" i="4" s="1"/>
  <c r="S9" i="4"/>
  <c r="M9" i="4"/>
  <c r="I9" i="4"/>
  <c r="Y9" i="4" s="1"/>
  <c r="S8" i="4"/>
  <c r="M8" i="4"/>
  <c r="I8" i="4"/>
  <c r="Y8" i="4" s="1"/>
  <c r="S7" i="4"/>
  <c r="M7" i="4"/>
  <c r="I7" i="4"/>
  <c r="Y7" i="4" s="1"/>
  <c r="S6" i="4"/>
  <c r="M6" i="4"/>
  <c r="I6" i="4"/>
  <c r="Y6" i="4" s="1"/>
  <c r="S5" i="4"/>
  <c r="M5" i="4"/>
  <c r="I5" i="4"/>
  <c r="Y5" i="4" s="1"/>
  <c r="S28" i="3"/>
  <c r="M28" i="3"/>
  <c r="I28" i="3"/>
  <c r="Y28" i="3" s="1"/>
  <c r="S27" i="3"/>
  <c r="M27" i="3"/>
  <c r="I27" i="3"/>
  <c r="Y27" i="3" s="1"/>
  <c r="S26" i="3"/>
  <c r="M26" i="3"/>
  <c r="I26" i="3"/>
  <c r="Y26" i="3" s="1"/>
  <c r="S25" i="3"/>
  <c r="M25" i="3"/>
  <c r="I25" i="3"/>
  <c r="Y25" i="3" s="1"/>
  <c r="S24" i="3"/>
  <c r="M24" i="3"/>
  <c r="I24" i="3"/>
  <c r="Y24" i="3" s="1"/>
  <c r="S23" i="3"/>
  <c r="M23" i="3"/>
  <c r="I23" i="3"/>
  <c r="Y23" i="3" s="1"/>
  <c r="S22" i="3"/>
  <c r="M22" i="3"/>
  <c r="I22" i="3"/>
  <c r="Y22" i="3" s="1"/>
  <c r="S21" i="3"/>
  <c r="M21" i="3"/>
  <c r="I21" i="3"/>
  <c r="Y21" i="3" s="1"/>
  <c r="S20" i="3"/>
  <c r="M20" i="3"/>
  <c r="I20" i="3"/>
  <c r="Y20" i="3" s="1"/>
  <c r="S19" i="3"/>
  <c r="M19" i="3"/>
  <c r="I19" i="3"/>
  <c r="Y19" i="3" s="1"/>
  <c r="S18" i="3"/>
  <c r="M18" i="3"/>
  <c r="I18" i="3"/>
  <c r="Y18" i="3" s="1"/>
  <c r="S17" i="3"/>
  <c r="M17" i="3"/>
  <c r="I17" i="3"/>
  <c r="Y17" i="3" s="1"/>
  <c r="S16" i="3"/>
  <c r="M16" i="3"/>
  <c r="I16" i="3"/>
  <c r="Y16" i="3" s="1"/>
  <c r="S15" i="3"/>
  <c r="M15" i="3"/>
  <c r="I15" i="3"/>
  <c r="Y15" i="3" s="1"/>
  <c r="S14" i="3"/>
  <c r="M14" i="3"/>
  <c r="I14" i="3"/>
  <c r="Y14" i="3" s="1"/>
  <c r="S13" i="3"/>
  <c r="M13" i="3"/>
  <c r="I13" i="3"/>
  <c r="Y13" i="3" s="1"/>
  <c r="S12" i="3"/>
  <c r="M12" i="3"/>
  <c r="I12" i="3"/>
  <c r="Y12" i="3" s="1"/>
  <c r="S11" i="3"/>
  <c r="M11" i="3"/>
  <c r="I11" i="3"/>
  <c r="Y11" i="3" s="1"/>
  <c r="S10" i="3"/>
  <c r="M10" i="3"/>
  <c r="I10" i="3"/>
  <c r="Y10" i="3" s="1"/>
  <c r="S9" i="3"/>
  <c r="M9" i="3"/>
  <c r="I9" i="3"/>
  <c r="Y9" i="3" s="1"/>
  <c r="S8" i="3"/>
  <c r="M8" i="3"/>
  <c r="I8" i="3"/>
  <c r="Y8" i="3" s="1"/>
  <c r="S7" i="3"/>
  <c r="M7" i="3"/>
  <c r="I7" i="3"/>
  <c r="Y7" i="3" s="1"/>
  <c r="S6" i="3"/>
  <c r="M6" i="3"/>
  <c r="I6" i="3"/>
  <c r="Y6" i="3" s="1"/>
  <c r="S5" i="3"/>
  <c r="M5" i="3"/>
  <c r="I5" i="3"/>
  <c r="Y5" i="3" s="1"/>
  <c r="S28" i="2"/>
  <c r="M28" i="2"/>
  <c r="I28" i="2"/>
  <c r="Y28" i="2" s="1"/>
  <c r="S27" i="2"/>
  <c r="M27" i="2"/>
  <c r="I27" i="2"/>
  <c r="Y27" i="2" s="1"/>
  <c r="S26" i="2"/>
  <c r="M26" i="2"/>
  <c r="I26" i="2"/>
  <c r="Y26" i="2" s="1"/>
  <c r="S25" i="2"/>
  <c r="M25" i="2"/>
  <c r="I25" i="2"/>
  <c r="Y25" i="2" s="1"/>
  <c r="S24" i="2"/>
  <c r="M24" i="2"/>
  <c r="I24" i="2"/>
  <c r="Y24" i="2" s="1"/>
  <c r="S23" i="2"/>
  <c r="M23" i="2"/>
  <c r="I23" i="2"/>
  <c r="Y23" i="2" s="1"/>
  <c r="S22" i="2"/>
  <c r="M22" i="2"/>
  <c r="I22" i="2"/>
  <c r="Y22" i="2" s="1"/>
  <c r="S21" i="2"/>
  <c r="M21" i="2"/>
  <c r="I21" i="2"/>
  <c r="Y21" i="2" s="1"/>
  <c r="S20" i="2"/>
  <c r="M20" i="2"/>
  <c r="I20" i="2"/>
  <c r="Y20" i="2" s="1"/>
  <c r="S19" i="2"/>
  <c r="M19" i="2"/>
  <c r="I19" i="2"/>
  <c r="Y19" i="2" s="1"/>
  <c r="S18" i="2"/>
  <c r="M18" i="2"/>
  <c r="I18" i="2"/>
  <c r="Y18" i="2" s="1"/>
  <c r="S17" i="2"/>
  <c r="M17" i="2"/>
  <c r="I17" i="2"/>
  <c r="Y17" i="2" s="1"/>
  <c r="S16" i="2"/>
  <c r="M16" i="2"/>
  <c r="I16" i="2"/>
  <c r="Y16" i="2" s="1"/>
  <c r="S15" i="2"/>
  <c r="M15" i="2"/>
  <c r="I15" i="2"/>
  <c r="Y15" i="2" s="1"/>
  <c r="S14" i="2"/>
  <c r="M14" i="2"/>
  <c r="I14" i="2"/>
  <c r="Y14" i="2" s="1"/>
  <c r="S13" i="2"/>
  <c r="M13" i="2"/>
  <c r="I13" i="2"/>
  <c r="Y13" i="2" s="1"/>
  <c r="S12" i="2"/>
  <c r="M12" i="2"/>
  <c r="I12" i="2"/>
  <c r="Y12" i="2" s="1"/>
  <c r="S11" i="2"/>
  <c r="M11" i="2"/>
  <c r="I11" i="2"/>
  <c r="Y11" i="2" s="1"/>
  <c r="S10" i="2"/>
  <c r="M10" i="2"/>
  <c r="I10" i="2"/>
  <c r="Y10" i="2" s="1"/>
  <c r="S9" i="2"/>
  <c r="M9" i="2"/>
  <c r="I9" i="2"/>
  <c r="Y9" i="2" s="1"/>
  <c r="S8" i="2"/>
  <c r="M8" i="2"/>
  <c r="I8" i="2"/>
  <c r="Y8" i="2" s="1"/>
  <c r="S7" i="2"/>
  <c r="M7" i="2"/>
  <c r="I7" i="2"/>
  <c r="Y7" i="2" s="1"/>
  <c r="S6" i="2"/>
  <c r="M6" i="2"/>
  <c r="I6" i="2"/>
  <c r="Y6" i="2" s="1"/>
  <c r="S5" i="2"/>
  <c r="M5" i="2"/>
  <c r="I5" i="2"/>
  <c r="Y5" i="2" s="1"/>
  <c r="S28" i="1"/>
  <c r="M28" i="1"/>
  <c r="I28" i="1"/>
  <c r="Y28" i="1" s="1"/>
  <c r="S27" i="1"/>
  <c r="M27" i="1"/>
  <c r="I27" i="1"/>
  <c r="Y27" i="1" s="1"/>
  <c r="S26" i="1"/>
  <c r="M26" i="1"/>
  <c r="I26" i="1"/>
  <c r="Y26" i="1" s="1"/>
  <c r="S25" i="1"/>
  <c r="M25" i="1"/>
  <c r="I25" i="1"/>
  <c r="Y25" i="1" s="1"/>
  <c r="S24" i="1"/>
  <c r="M24" i="1"/>
  <c r="I24" i="1"/>
  <c r="Y24" i="1" s="1"/>
  <c r="S23" i="1"/>
  <c r="M23" i="1"/>
  <c r="I23" i="1"/>
  <c r="Y23" i="1" s="1"/>
  <c r="S22" i="1"/>
  <c r="M22" i="1"/>
  <c r="I22" i="1"/>
  <c r="Y22" i="1" s="1"/>
  <c r="S21" i="1"/>
  <c r="M21" i="1"/>
  <c r="I21" i="1"/>
  <c r="Y21" i="1" s="1"/>
  <c r="S20" i="1"/>
  <c r="M20" i="1"/>
  <c r="I20" i="1"/>
  <c r="Y20" i="1" s="1"/>
  <c r="S19" i="1"/>
  <c r="M19" i="1"/>
  <c r="I19" i="1"/>
  <c r="Y19" i="1" s="1"/>
  <c r="S18" i="1"/>
  <c r="M18" i="1"/>
  <c r="I18" i="1"/>
  <c r="Y18" i="1" s="1"/>
  <c r="S17" i="1"/>
  <c r="M17" i="1"/>
  <c r="I17" i="1"/>
  <c r="Y17" i="1" s="1"/>
  <c r="S16" i="1"/>
  <c r="M16" i="1"/>
  <c r="I16" i="1"/>
  <c r="Y16" i="1" s="1"/>
  <c r="S15" i="1"/>
  <c r="M15" i="1"/>
  <c r="I15" i="1"/>
  <c r="Y15" i="1" s="1"/>
  <c r="S14" i="1"/>
  <c r="M14" i="1"/>
  <c r="I14" i="1"/>
  <c r="Y14" i="1" s="1"/>
  <c r="S13" i="1"/>
  <c r="M13" i="1"/>
  <c r="I13" i="1"/>
  <c r="Y13" i="1" s="1"/>
  <c r="S12" i="1"/>
  <c r="M12" i="1"/>
  <c r="I12" i="1"/>
  <c r="Y12" i="1" s="1"/>
  <c r="S11" i="1"/>
  <c r="M11" i="1"/>
  <c r="I11" i="1"/>
  <c r="Y11" i="1" s="1"/>
  <c r="S10" i="1"/>
  <c r="M10" i="1"/>
  <c r="I10" i="1"/>
  <c r="Y10" i="1" s="1"/>
  <c r="S9" i="1"/>
  <c r="M9" i="1"/>
  <c r="I9" i="1"/>
  <c r="Y9" i="1" s="1"/>
  <c r="S8" i="1"/>
  <c r="M8" i="1"/>
  <c r="I8" i="1"/>
  <c r="Y8" i="1" s="1"/>
  <c r="S7" i="1"/>
  <c r="M7" i="1"/>
  <c r="I7" i="1"/>
  <c r="Y7" i="1" s="1"/>
  <c r="S6" i="1"/>
  <c r="M6" i="1"/>
  <c r="I6" i="1"/>
  <c r="Y6" i="1" s="1"/>
  <c r="S5" i="1"/>
  <c r="M5" i="1"/>
  <c r="I5" i="1"/>
  <c r="Y5" i="1" s="1"/>
</calcChain>
</file>

<file path=xl/sharedStrings.xml><?xml version="1.0" encoding="utf-8"?>
<sst xmlns="http://schemas.openxmlformats.org/spreadsheetml/2006/main" count="1990" uniqueCount="592">
  <si>
    <t>FreshFields Produce Ltd | London DC Inventory</t>
  </si>
  <si>
    <t>Synthetic demonstration data | Snapshot date: 17 Aug 2026 | All names and values are fictional</t>
  </si>
  <si>
    <t>Site Code</t>
  </si>
  <si>
    <t>LON</t>
  </si>
  <si>
    <t>Total SKUs</t>
  </si>
  <si>
    <t>Site Capacity</t>
  </si>
  <si>
    <t>Product ID</t>
  </si>
  <si>
    <t>SKU</t>
  </si>
  <si>
    <t>Category</t>
  </si>
  <si>
    <t>Product Name</t>
  </si>
  <si>
    <t>Unit of Measure</t>
  </si>
  <si>
    <t>Batch ID</t>
  </si>
  <si>
    <t>Stock on Hand</t>
  </si>
  <si>
    <t>Reserved Stock</t>
  </si>
  <si>
    <t>Available Stock</t>
  </si>
  <si>
    <t>Reorder Point</t>
  </si>
  <si>
    <t>Safety Stock</t>
  </si>
  <si>
    <t>Capacity Used %</t>
  </si>
  <si>
    <t>7-Day Forecast</t>
  </si>
  <si>
    <t>30-Day Forecast</t>
  </si>
  <si>
    <t>Lead Time (Days)</t>
  </si>
  <si>
    <t>Shelf Life (Days)</t>
  </si>
  <si>
    <t>Unit Cost (£)</t>
  </si>
  <si>
    <t>Stock Value (£)</t>
  </si>
  <si>
    <t>Supplier</t>
  </si>
  <si>
    <t>Last Restock Date</t>
  </si>
  <si>
    <t>Expiry Date</t>
  </si>
  <si>
    <t>Storage Temp Min (°C)</t>
  </si>
  <si>
    <t>Storage Temp Max (°C)</t>
  </si>
  <si>
    <t>Inventory Status</t>
  </si>
  <si>
    <t>PRD-001</t>
  </si>
  <si>
    <t>APP-GAL-LON</t>
  </si>
  <si>
    <t>Fruit</t>
  </si>
  <si>
    <t>Apple Gala</t>
  </si>
  <si>
    <t>kg</t>
  </si>
  <si>
    <t>LON-260817-001</t>
  </si>
  <si>
    <t>Orchard Vale Ltd</t>
  </si>
  <si>
    <t>PRD-002</t>
  </si>
  <si>
    <t>BAN-CAV-LON</t>
  </si>
  <si>
    <t>Banana</t>
  </si>
  <si>
    <t>LON-260817-002</t>
  </si>
  <si>
    <t>Tropic Harvest Co</t>
  </si>
  <si>
    <t>PRD-003</t>
  </si>
  <si>
    <t>ORA-NAV-LON</t>
  </si>
  <si>
    <t>Orange</t>
  </si>
  <si>
    <t>LON-260817-003</t>
  </si>
  <si>
    <t>Sunridge Citrus</t>
  </si>
  <si>
    <t>PRD-004</t>
  </si>
  <si>
    <t>PEA-CON-LON</t>
  </si>
  <si>
    <t>Pear Conference</t>
  </si>
  <si>
    <t>LON-260817-004</t>
  </si>
  <si>
    <t>PRD-005</t>
  </si>
  <si>
    <t>STR-ELS-LON</t>
  </si>
  <si>
    <t>Strawberry</t>
  </si>
  <si>
    <t>punnet</t>
  </si>
  <si>
    <t>LON-260817-005</t>
  </si>
  <si>
    <t>Berryfield Farms</t>
  </si>
  <si>
    <t>PRD-006</t>
  </si>
  <si>
    <t>BLU-DUK-LON</t>
  </si>
  <si>
    <t>Blueberry</t>
  </si>
  <si>
    <t>LON-260817-006</t>
  </si>
  <si>
    <t>PRD-007</t>
  </si>
  <si>
    <t>GRA-GRN-LON</t>
  </si>
  <si>
    <t>Grapes Green</t>
  </si>
  <si>
    <t>LON-260817-007</t>
  </si>
  <si>
    <t>VineFresh Imports</t>
  </si>
  <si>
    <t>PRD-008</t>
  </si>
  <si>
    <t>MAN-KEN-LON</t>
  </si>
  <si>
    <t>Mango</t>
  </si>
  <si>
    <t>each</t>
  </si>
  <si>
    <t>LON-260817-008</t>
  </si>
  <si>
    <t>PRD-009</t>
  </si>
  <si>
    <t>PIN-GOL-LON</t>
  </si>
  <si>
    <t>Pineapple</t>
  </si>
  <si>
    <t>LON-260817-009</t>
  </si>
  <si>
    <t>PRD-010</t>
  </si>
  <si>
    <t>LEM-EUR-LON</t>
  </si>
  <si>
    <t>Lemon</t>
  </si>
  <si>
    <t>LON-260817-010</t>
  </si>
  <si>
    <t>PRD-011</t>
  </si>
  <si>
    <t>POT-MP-LON</t>
  </si>
  <si>
    <t>Vegetable</t>
  </si>
  <si>
    <t>Potato Maris Piper</t>
  </si>
  <si>
    <t>LON-260817-011</t>
  </si>
  <si>
    <t>Green Acre Produce</t>
  </si>
  <si>
    <t>PRD-012</t>
  </si>
  <si>
    <t>CAR-NAN-LON</t>
  </si>
  <si>
    <t>Carrot</t>
  </si>
  <si>
    <t>LON-260817-012</t>
  </si>
  <si>
    <t>Root &amp; Soil Farms</t>
  </si>
  <si>
    <t>PRD-013</t>
  </si>
  <si>
    <t>BRO-CAL-LON</t>
  </si>
  <si>
    <t>Broccoli</t>
  </si>
  <si>
    <t>LON-260817-013</t>
  </si>
  <si>
    <t>PRD-014</t>
  </si>
  <si>
    <t>SPI-BAB-LON</t>
  </si>
  <si>
    <t>Spinach</t>
  </si>
  <si>
    <t>bag</t>
  </si>
  <si>
    <t>LON-260817-014</t>
  </si>
  <si>
    <t>Leafline Growers</t>
  </si>
  <si>
    <t>PRD-015</t>
  </si>
  <si>
    <t>TOM-VIN-LON</t>
  </si>
  <si>
    <t>Tomato Vine</t>
  </si>
  <si>
    <t>LON-260817-015</t>
  </si>
  <si>
    <t>Glasshouse Produce</t>
  </si>
  <si>
    <t>PRD-016</t>
  </si>
  <si>
    <t>CUC-ENG-LON</t>
  </si>
  <si>
    <t>Cucumber</t>
  </si>
  <si>
    <t>LON-260817-016</t>
  </si>
  <si>
    <t>PRD-017</t>
  </si>
  <si>
    <t>PEP-MIX-LON</t>
  </si>
  <si>
    <t>Bell Pepper Mixed</t>
  </si>
  <si>
    <t>pack</t>
  </si>
  <si>
    <t>LON-260817-017</t>
  </si>
  <si>
    <t>PRD-018</t>
  </si>
  <si>
    <t>ONI-BRN-LON</t>
  </si>
  <si>
    <t>Onion Brown</t>
  </si>
  <si>
    <t>LON-260817-018</t>
  </si>
  <si>
    <t>PRD-019</t>
  </si>
  <si>
    <t>COU-GRN-LON</t>
  </si>
  <si>
    <t>Courgette</t>
  </si>
  <si>
    <t>LON-260817-019</t>
  </si>
  <si>
    <t>PRD-020</t>
  </si>
  <si>
    <t>AVO-HAS-LON</t>
  </si>
  <si>
    <t>Avocado</t>
  </si>
  <si>
    <t>LON-260817-020</t>
  </si>
  <si>
    <t>PRD-021</t>
  </si>
  <si>
    <t>CAU-WHT-LON</t>
  </si>
  <si>
    <t>Cauliflower</t>
  </si>
  <si>
    <t>LON-260817-021</t>
  </si>
  <si>
    <t>PRD-022</t>
  </si>
  <si>
    <t>SWP-ORG-LON</t>
  </si>
  <si>
    <t>Sweet Potato</t>
  </si>
  <si>
    <t>LON-260817-022</t>
  </si>
  <si>
    <t>PRD-023</t>
  </si>
  <si>
    <t>KIW-GRN-LON</t>
  </si>
  <si>
    <t>Kiwi</t>
  </si>
  <si>
    <t>LON-260817-023</t>
  </si>
  <si>
    <t>PRD-024</t>
  </si>
  <si>
    <t>RAS-TUL-LON</t>
  </si>
  <si>
    <t>Raspberry</t>
  </si>
  <si>
    <t>LON-260817-024</t>
  </si>
  <si>
    <t>FreshFields Produce Ltd | Birmingham Hub Inventory</t>
  </si>
  <si>
    <t>BHM</t>
  </si>
  <si>
    <t>APP-GAL-BHM</t>
  </si>
  <si>
    <t>BHM-260817-001</t>
  </si>
  <si>
    <t>BAN-CAV-BHM</t>
  </si>
  <si>
    <t>BHM-260817-002</t>
  </si>
  <si>
    <t>ORA-NAV-BHM</t>
  </si>
  <si>
    <t>BHM-260817-003</t>
  </si>
  <si>
    <t>PEA-CON-BHM</t>
  </si>
  <si>
    <t>BHM-260817-004</t>
  </si>
  <si>
    <t>STR-ELS-BHM</t>
  </si>
  <si>
    <t>BHM-260817-005</t>
  </si>
  <si>
    <t>BLU-DUK-BHM</t>
  </si>
  <si>
    <t>BHM-260817-006</t>
  </si>
  <si>
    <t>GRA-GRN-BHM</t>
  </si>
  <si>
    <t>BHM-260817-007</t>
  </si>
  <si>
    <t>MAN-KEN-BHM</t>
  </si>
  <si>
    <t>BHM-260817-008</t>
  </si>
  <si>
    <t>PIN-GOL-BHM</t>
  </si>
  <si>
    <t>BHM-260817-009</t>
  </si>
  <si>
    <t>LEM-EUR-BHM</t>
  </si>
  <si>
    <t>BHM-260817-010</t>
  </si>
  <si>
    <t>POT-MP-BHM</t>
  </si>
  <si>
    <t>BHM-260817-011</t>
  </si>
  <si>
    <t>CAR-NAN-BHM</t>
  </si>
  <si>
    <t>BHM-260817-012</t>
  </si>
  <si>
    <t>BRO-CAL-BHM</t>
  </si>
  <si>
    <t>BHM-260817-013</t>
  </si>
  <si>
    <t>SPI-BAB-BHM</t>
  </si>
  <si>
    <t>BHM-260817-014</t>
  </si>
  <si>
    <t>TOM-VIN-BHM</t>
  </si>
  <si>
    <t>BHM-260817-015</t>
  </si>
  <si>
    <t>CUC-ENG-BHM</t>
  </si>
  <si>
    <t>BHM-260817-016</t>
  </si>
  <si>
    <t>PEP-MIX-BHM</t>
  </si>
  <si>
    <t>BHM-260817-017</t>
  </si>
  <si>
    <t>ONI-BRN-BHM</t>
  </si>
  <si>
    <t>BHM-260817-018</t>
  </si>
  <si>
    <t>COU-GRN-BHM</t>
  </si>
  <si>
    <t>BHM-260817-019</t>
  </si>
  <si>
    <t>AVO-HAS-BHM</t>
  </si>
  <si>
    <t>BHM-260817-020</t>
  </si>
  <si>
    <t>CAU-WHT-BHM</t>
  </si>
  <si>
    <t>BHM-260817-021</t>
  </si>
  <si>
    <t>SWP-ORG-BHM</t>
  </si>
  <si>
    <t>BHM-260817-022</t>
  </si>
  <si>
    <t>KIW-GRN-BHM</t>
  </si>
  <si>
    <t>BHM-260817-023</t>
  </si>
  <si>
    <t>RAS-TUL-BHM</t>
  </si>
  <si>
    <t>BHM-260817-024</t>
  </si>
  <si>
    <t>FreshFields Produce Ltd | Manchester Depot Inventory</t>
  </si>
  <si>
    <t>MAN</t>
  </si>
  <si>
    <t>APP-GAL-MAN</t>
  </si>
  <si>
    <t>MAN-260817-001</t>
  </si>
  <si>
    <t>BAN-CAV-MAN</t>
  </si>
  <si>
    <t>MAN-260817-002</t>
  </si>
  <si>
    <t>ORA-NAV-MAN</t>
  </si>
  <si>
    <t>MAN-260817-003</t>
  </si>
  <si>
    <t>PEA-CON-MAN</t>
  </si>
  <si>
    <t>MAN-260817-004</t>
  </si>
  <si>
    <t>STR-ELS-MAN</t>
  </si>
  <si>
    <t>MAN-260817-005</t>
  </si>
  <si>
    <t>BLU-DUK-MAN</t>
  </si>
  <si>
    <t>MAN-260817-006</t>
  </si>
  <si>
    <t>GRA-GRN-MAN</t>
  </si>
  <si>
    <t>MAN-260817-007</t>
  </si>
  <si>
    <t>MAN-KEN-MAN</t>
  </si>
  <si>
    <t>MAN-260817-008</t>
  </si>
  <si>
    <t>PIN-GOL-MAN</t>
  </si>
  <si>
    <t>MAN-260817-009</t>
  </si>
  <si>
    <t>LEM-EUR-MAN</t>
  </si>
  <si>
    <t>MAN-260817-010</t>
  </si>
  <si>
    <t>POT-MP-MAN</t>
  </si>
  <si>
    <t>MAN-260817-011</t>
  </si>
  <si>
    <t>CAR-NAN-MAN</t>
  </si>
  <si>
    <t>MAN-260817-012</t>
  </si>
  <si>
    <t>BRO-CAL-MAN</t>
  </si>
  <si>
    <t>MAN-260817-013</t>
  </si>
  <si>
    <t>SPI-BAB-MAN</t>
  </si>
  <si>
    <t>MAN-260817-014</t>
  </si>
  <si>
    <t>TOM-VIN-MAN</t>
  </si>
  <si>
    <t>MAN-260817-015</t>
  </si>
  <si>
    <t>CUC-ENG-MAN</t>
  </si>
  <si>
    <t>MAN-260817-016</t>
  </si>
  <si>
    <t>PEP-MIX-MAN</t>
  </si>
  <si>
    <t>MAN-260817-017</t>
  </si>
  <si>
    <t>ONI-BRN-MAN</t>
  </si>
  <si>
    <t>MAN-260817-018</t>
  </si>
  <si>
    <t>COU-GRN-MAN</t>
  </si>
  <si>
    <t>MAN-260817-019</t>
  </si>
  <si>
    <t>AVO-HAS-MAN</t>
  </si>
  <si>
    <t>MAN-260817-020</t>
  </si>
  <si>
    <t>CAU-WHT-MAN</t>
  </si>
  <si>
    <t>MAN-260817-021</t>
  </si>
  <si>
    <t>SWP-ORG-MAN</t>
  </si>
  <si>
    <t>MAN-260817-022</t>
  </si>
  <si>
    <t>KIW-GRN-MAN</t>
  </si>
  <si>
    <t>MAN-260817-023</t>
  </si>
  <si>
    <t>RAS-TUL-MAN</t>
  </si>
  <si>
    <t>MAN-260817-024</t>
  </si>
  <si>
    <t>FreshFields Produce Ltd | Leeds Warehouse Inventory</t>
  </si>
  <si>
    <t>LDS</t>
  </si>
  <si>
    <t>APP-GAL-LDS</t>
  </si>
  <si>
    <t>LDS-260817-001</t>
  </si>
  <si>
    <t>BAN-CAV-LDS</t>
  </si>
  <si>
    <t>LDS-260817-002</t>
  </si>
  <si>
    <t>ORA-NAV-LDS</t>
  </si>
  <si>
    <t>LDS-260817-003</t>
  </si>
  <si>
    <t>PEA-CON-LDS</t>
  </si>
  <si>
    <t>LDS-260817-004</t>
  </si>
  <si>
    <t>STR-ELS-LDS</t>
  </si>
  <si>
    <t>LDS-260817-005</t>
  </si>
  <si>
    <t>BLU-DUK-LDS</t>
  </si>
  <si>
    <t>LDS-260817-006</t>
  </si>
  <si>
    <t>GRA-GRN-LDS</t>
  </si>
  <si>
    <t>LDS-260817-007</t>
  </si>
  <si>
    <t>MAN-KEN-LDS</t>
  </si>
  <si>
    <t>LDS-260817-008</t>
  </si>
  <si>
    <t>PIN-GOL-LDS</t>
  </si>
  <si>
    <t>LDS-260817-009</t>
  </si>
  <si>
    <t>LEM-EUR-LDS</t>
  </si>
  <si>
    <t>LDS-260817-010</t>
  </si>
  <si>
    <t>POT-MP-LDS</t>
  </si>
  <si>
    <t>LDS-260817-011</t>
  </si>
  <si>
    <t>CAR-NAN-LDS</t>
  </si>
  <si>
    <t>LDS-260817-012</t>
  </si>
  <si>
    <t>BRO-CAL-LDS</t>
  </si>
  <si>
    <t>LDS-260817-013</t>
  </si>
  <si>
    <t>SPI-BAB-LDS</t>
  </si>
  <si>
    <t>LDS-260817-014</t>
  </si>
  <si>
    <t>TOM-VIN-LDS</t>
  </si>
  <si>
    <t>LDS-260817-015</t>
  </si>
  <si>
    <t>CUC-ENG-LDS</t>
  </si>
  <si>
    <t>LDS-260817-016</t>
  </si>
  <si>
    <t>PEP-MIX-LDS</t>
  </si>
  <si>
    <t>LDS-260817-017</t>
  </si>
  <si>
    <t>ONI-BRN-LDS</t>
  </si>
  <si>
    <t>LDS-260817-018</t>
  </si>
  <si>
    <t>COU-GRN-LDS</t>
  </si>
  <si>
    <t>LDS-260817-019</t>
  </si>
  <si>
    <t>AVO-HAS-LDS</t>
  </si>
  <si>
    <t>LDS-260817-020</t>
  </si>
  <si>
    <t>CAU-WHT-LDS</t>
  </si>
  <si>
    <t>LDS-260817-021</t>
  </si>
  <si>
    <t>SWP-ORG-LDS</t>
  </si>
  <si>
    <t>LDS-260817-022</t>
  </si>
  <si>
    <t>KIW-GRN-LDS</t>
  </si>
  <si>
    <t>LDS-260817-023</t>
  </si>
  <si>
    <t>RAS-TUL-LDS</t>
  </si>
  <si>
    <t>LDS-260817-024</t>
  </si>
  <si>
    <t>FreshFields Produce Ltd | Bristol Centre Inventory</t>
  </si>
  <si>
    <t>BRS</t>
  </si>
  <si>
    <t>APP-GAL-BRS</t>
  </si>
  <si>
    <t>BRS-260817-001</t>
  </si>
  <si>
    <t>BAN-CAV-BRS</t>
  </si>
  <si>
    <t>BRS-260817-002</t>
  </si>
  <si>
    <t>ORA-NAV-BRS</t>
  </si>
  <si>
    <t>BRS-260817-003</t>
  </si>
  <si>
    <t>PEA-CON-BRS</t>
  </si>
  <si>
    <t>BRS-260817-004</t>
  </si>
  <si>
    <t>STR-ELS-BRS</t>
  </si>
  <si>
    <t>BRS-260817-005</t>
  </si>
  <si>
    <t>BLU-DUK-BRS</t>
  </si>
  <si>
    <t>BRS-260817-006</t>
  </si>
  <si>
    <t>GRA-GRN-BRS</t>
  </si>
  <si>
    <t>BRS-260817-007</t>
  </si>
  <si>
    <t>MAN-KEN-BRS</t>
  </si>
  <si>
    <t>BRS-260817-008</t>
  </si>
  <si>
    <t>PIN-GOL-BRS</t>
  </si>
  <si>
    <t>BRS-260817-009</t>
  </si>
  <si>
    <t>LEM-EUR-BRS</t>
  </si>
  <si>
    <t>BRS-260817-010</t>
  </si>
  <si>
    <t>POT-MP-BRS</t>
  </si>
  <si>
    <t>BRS-260817-011</t>
  </si>
  <si>
    <t>CAR-NAN-BRS</t>
  </si>
  <si>
    <t>BRS-260817-012</t>
  </si>
  <si>
    <t>BRO-CAL-BRS</t>
  </si>
  <si>
    <t>BRS-260817-013</t>
  </si>
  <si>
    <t>SPI-BAB-BRS</t>
  </si>
  <si>
    <t>BRS-260817-014</t>
  </si>
  <si>
    <t>TOM-VIN-BRS</t>
  </si>
  <si>
    <t>BRS-260817-015</t>
  </si>
  <si>
    <t>CUC-ENG-BRS</t>
  </si>
  <si>
    <t>BRS-260817-016</t>
  </si>
  <si>
    <t>PEP-MIX-BRS</t>
  </si>
  <si>
    <t>BRS-260817-017</t>
  </si>
  <si>
    <t>ONI-BRN-BRS</t>
  </si>
  <si>
    <t>BRS-260817-018</t>
  </si>
  <si>
    <t>COU-GRN-BRS</t>
  </si>
  <si>
    <t>BRS-260817-019</t>
  </si>
  <si>
    <t>AVO-HAS-BRS</t>
  </si>
  <si>
    <t>BRS-260817-020</t>
  </si>
  <si>
    <t>CAU-WHT-BRS</t>
  </si>
  <si>
    <t>BRS-260817-021</t>
  </si>
  <si>
    <t>SWP-ORG-BRS</t>
  </si>
  <si>
    <t>BRS-260817-022</t>
  </si>
  <si>
    <t>KIW-GRN-BRS</t>
  </si>
  <si>
    <t>BRS-260817-023</t>
  </si>
  <si>
    <t>RAS-TUL-BRS</t>
  </si>
  <si>
    <t>BRS-260817-024</t>
  </si>
  <si>
    <t>FreshFields Produce Ltd | Glasgow Hub Inventory</t>
  </si>
  <si>
    <t>GLA</t>
  </si>
  <si>
    <t>APP-GAL-GLA</t>
  </si>
  <si>
    <t>GLA-260817-001</t>
  </si>
  <si>
    <t>BAN-CAV-GLA</t>
  </si>
  <si>
    <t>GLA-260817-002</t>
  </si>
  <si>
    <t>ORA-NAV-GLA</t>
  </si>
  <si>
    <t>GLA-260817-003</t>
  </si>
  <si>
    <t>PEA-CON-GLA</t>
  </si>
  <si>
    <t>GLA-260817-004</t>
  </si>
  <si>
    <t>STR-ELS-GLA</t>
  </si>
  <si>
    <t>GLA-260817-005</t>
  </si>
  <si>
    <t>BLU-DUK-GLA</t>
  </si>
  <si>
    <t>GLA-260817-006</t>
  </si>
  <si>
    <t>GRA-GRN-GLA</t>
  </si>
  <si>
    <t>GLA-260817-007</t>
  </si>
  <si>
    <t>MAN-KEN-GLA</t>
  </si>
  <si>
    <t>GLA-260817-008</t>
  </si>
  <si>
    <t>PIN-GOL-GLA</t>
  </si>
  <si>
    <t>GLA-260817-009</t>
  </si>
  <si>
    <t>LEM-EUR-GLA</t>
  </si>
  <si>
    <t>GLA-260817-010</t>
  </si>
  <si>
    <t>POT-MP-GLA</t>
  </si>
  <si>
    <t>GLA-260817-011</t>
  </si>
  <si>
    <t>CAR-NAN-GLA</t>
  </si>
  <si>
    <t>GLA-260817-012</t>
  </si>
  <si>
    <t>BRO-CAL-GLA</t>
  </si>
  <si>
    <t>GLA-260817-013</t>
  </si>
  <si>
    <t>SPI-BAB-GLA</t>
  </si>
  <si>
    <t>GLA-260817-014</t>
  </si>
  <si>
    <t>TOM-VIN-GLA</t>
  </si>
  <si>
    <t>GLA-260817-015</t>
  </si>
  <si>
    <t>CUC-ENG-GLA</t>
  </si>
  <si>
    <t>GLA-260817-016</t>
  </si>
  <si>
    <t>PEP-MIX-GLA</t>
  </si>
  <si>
    <t>GLA-260817-017</t>
  </si>
  <si>
    <t>ONI-BRN-GLA</t>
  </si>
  <si>
    <t>GLA-260817-018</t>
  </si>
  <si>
    <t>COU-GRN-GLA</t>
  </si>
  <si>
    <t>GLA-260817-019</t>
  </si>
  <si>
    <t>AVO-HAS-GLA</t>
  </si>
  <si>
    <t>GLA-260817-020</t>
  </si>
  <si>
    <t>CAU-WHT-GLA</t>
  </si>
  <si>
    <t>GLA-260817-021</t>
  </si>
  <si>
    <t>SWP-ORG-GLA</t>
  </si>
  <si>
    <t>GLA-260817-022</t>
  </si>
  <si>
    <t>KIW-GRN-GLA</t>
  </si>
  <si>
    <t>GLA-260817-023</t>
  </si>
  <si>
    <t>RAS-TUL-GLA</t>
  </si>
  <si>
    <t>GLA-260817-024</t>
  </si>
  <si>
    <t>FreshFields Produce Ltd | Cardiff Depot Inventory</t>
  </si>
  <si>
    <t>CDF</t>
  </si>
  <si>
    <t>APP-GAL-CDF</t>
  </si>
  <si>
    <t>CDF-260817-001</t>
  </si>
  <si>
    <t>BAN-CAV-CDF</t>
  </si>
  <si>
    <t>CDF-260817-002</t>
  </si>
  <si>
    <t>ORA-NAV-CDF</t>
  </si>
  <si>
    <t>CDF-260817-003</t>
  </si>
  <si>
    <t>PEA-CON-CDF</t>
  </si>
  <si>
    <t>CDF-260817-004</t>
  </si>
  <si>
    <t>STR-ELS-CDF</t>
  </si>
  <si>
    <t>CDF-260817-005</t>
  </si>
  <si>
    <t>BLU-DUK-CDF</t>
  </si>
  <si>
    <t>CDF-260817-006</t>
  </si>
  <si>
    <t>GRA-GRN-CDF</t>
  </si>
  <si>
    <t>CDF-260817-007</t>
  </si>
  <si>
    <t>MAN-KEN-CDF</t>
  </si>
  <si>
    <t>CDF-260817-008</t>
  </si>
  <si>
    <t>PIN-GOL-CDF</t>
  </si>
  <si>
    <t>CDF-260817-009</t>
  </si>
  <si>
    <t>LEM-EUR-CDF</t>
  </si>
  <si>
    <t>CDF-260817-010</t>
  </si>
  <si>
    <t>POT-MP-CDF</t>
  </si>
  <si>
    <t>CDF-260817-011</t>
  </si>
  <si>
    <t>CAR-NAN-CDF</t>
  </si>
  <si>
    <t>CDF-260817-012</t>
  </si>
  <si>
    <t>BRO-CAL-CDF</t>
  </si>
  <si>
    <t>CDF-260817-013</t>
  </si>
  <si>
    <t>SPI-BAB-CDF</t>
  </si>
  <si>
    <t>CDF-260817-014</t>
  </si>
  <si>
    <t>TOM-VIN-CDF</t>
  </si>
  <si>
    <t>CDF-260817-015</t>
  </si>
  <si>
    <t>CUC-ENG-CDF</t>
  </si>
  <si>
    <t>CDF-260817-016</t>
  </si>
  <si>
    <t>PEP-MIX-CDF</t>
  </si>
  <si>
    <t>CDF-260817-017</t>
  </si>
  <si>
    <t>ONI-BRN-CDF</t>
  </si>
  <si>
    <t>CDF-260817-018</t>
  </si>
  <si>
    <t>COU-GRN-CDF</t>
  </si>
  <si>
    <t>CDF-260817-019</t>
  </si>
  <si>
    <t>AVO-HAS-CDF</t>
  </si>
  <si>
    <t>CDF-260817-020</t>
  </si>
  <si>
    <t>CAU-WHT-CDF</t>
  </si>
  <si>
    <t>CDF-260817-021</t>
  </si>
  <si>
    <t>SWP-ORG-CDF</t>
  </si>
  <si>
    <t>CDF-260817-022</t>
  </si>
  <si>
    <t>KIW-GRN-CDF</t>
  </si>
  <si>
    <t>CDF-260817-023</t>
  </si>
  <si>
    <t>RAS-TUL-CDF</t>
  </si>
  <si>
    <t>CDF-260817-024</t>
  </si>
  <si>
    <t>FreshFields Produce Ltd | Nottingham Warehouse Inventory</t>
  </si>
  <si>
    <t>NTG</t>
  </si>
  <si>
    <t>APP-GAL-NTG</t>
  </si>
  <si>
    <t>NTG-260817-001</t>
  </si>
  <si>
    <t>BAN-CAV-NTG</t>
  </si>
  <si>
    <t>NTG-260817-002</t>
  </si>
  <si>
    <t>ORA-NAV-NTG</t>
  </si>
  <si>
    <t>NTG-260817-003</t>
  </si>
  <si>
    <t>PEA-CON-NTG</t>
  </si>
  <si>
    <t>NTG-260817-004</t>
  </si>
  <si>
    <t>STR-ELS-NTG</t>
  </si>
  <si>
    <t>NTG-260817-005</t>
  </si>
  <si>
    <t>BLU-DUK-NTG</t>
  </si>
  <si>
    <t>NTG-260817-006</t>
  </si>
  <si>
    <t>GRA-GRN-NTG</t>
  </si>
  <si>
    <t>NTG-260817-007</t>
  </si>
  <si>
    <t>MAN-KEN-NTG</t>
  </si>
  <si>
    <t>NTG-260817-008</t>
  </si>
  <si>
    <t>PIN-GOL-NTG</t>
  </si>
  <si>
    <t>NTG-260817-009</t>
  </si>
  <si>
    <t>LEM-EUR-NTG</t>
  </si>
  <si>
    <t>NTG-260817-010</t>
  </si>
  <si>
    <t>POT-MP-NTG</t>
  </si>
  <si>
    <t>NTG-260817-011</t>
  </si>
  <si>
    <t>CAR-NAN-NTG</t>
  </si>
  <si>
    <t>NTG-260817-012</t>
  </si>
  <si>
    <t>BRO-CAL-NTG</t>
  </si>
  <si>
    <t>NTG-260817-013</t>
  </si>
  <si>
    <t>SPI-BAB-NTG</t>
  </si>
  <si>
    <t>NTG-260817-014</t>
  </si>
  <si>
    <t>TOM-VIN-NTG</t>
  </si>
  <si>
    <t>NTG-260817-015</t>
  </si>
  <si>
    <t>CUC-ENG-NTG</t>
  </si>
  <si>
    <t>NTG-260817-016</t>
  </si>
  <si>
    <t>PEP-MIX-NTG</t>
  </si>
  <si>
    <t>NTG-260817-017</t>
  </si>
  <si>
    <t>ONI-BRN-NTG</t>
  </si>
  <si>
    <t>NTG-260817-018</t>
  </si>
  <si>
    <t>COU-GRN-NTG</t>
  </si>
  <si>
    <t>NTG-260817-019</t>
  </si>
  <si>
    <t>AVO-HAS-NTG</t>
  </si>
  <si>
    <t>NTG-260817-020</t>
  </si>
  <si>
    <t>CAU-WHT-NTG</t>
  </si>
  <si>
    <t>NTG-260817-021</t>
  </si>
  <si>
    <t>SWP-ORG-NTG</t>
  </si>
  <si>
    <t>NTG-260817-022</t>
  </si>
  <si>
    <t>KIW-GRN-NTG</t>
  </si>
  <si>
    <t>NTG-260817-023</t>
  </si>
  <si>
    <t>RAS-TUL-NTG</t>
  </si>
  <si>
    <t>NTG-260817-024</t>
  </si>
  <si>
    <t>FreshFields Produce Ltd | Southampton Centre Inventory</t>
  </si>
  <si>
    <t>SOU</t>
  </si>
  <si>
    <t>APP-GAL-SOU</t>
  </si>
  <si>
    <t>SOU-260817-001</t>
  </si>
  <si>
    <t>BAN-CAV-SOU</t>
  </si>
  <si>
    <t>SOU-260817-002</t>
  </si>
  <si>
    <t>ORA-NAV-SOU</t>
  </si>
  <si>
    <t>SOU-260817-003</t>
  </si>
  <si>
    <t>PEA-CON-SOU</t>
  </si>
  <si>
    <t>SOU-260817-004</t>
  </si>
  <si>
    <t>STR-ELS-SOU</t>
  </si>
  <si>
    <t>SOU-260817-005</t>
  </si>
  <si>
    <t>BLU-DUK-SOU</t>
  </si>
  <si>
    <t>SOU-260817-006</t>
  </si>
  <si>
    <t>GRA-GRN-SOU</t>
  </si>
  <si>
    <t>SOU-260817-007</t>
  </si>
  <si>
    <t>MAN-KEN-SOU</t>
  </si>
  <si>
    <t>SOU-260817-008</t>
  </si>
  <si>
    <t>PIN-GOL-SOU</t>
  </si>
  <si>
    <t>SOU-260817-009</t>
  </si>
  <si>
    <t>LEM-EUR-SOU</t>
  </si>
  <si>
    <t>SOU-260817-010</t>
  </si>
  <si>
    <t>POT-MP-SOU</t>
  </si>
  <si>
    <t>SOU-260817-011</t>
  </si>
  <si>
    <t>CAR-NAN-SOU</t>
  </si>
  <si>
    <t>SOU-260817-012</t>
  </si>
  <si>
    <t>BRO-CAL-SOU</t>
  </si>
  <si>
    <t>SOU-260817-013</t>
  </si>
  <si>
    <t>SPI-BAB-SOU</t>
  </si>
  <si>
    <t>SOU-260817-014</t>
  </si>
  <si>
    <t>TOM-VIN-SOU</t>
  </si>
  <si>
    <t>SOU-260817-015</t>
  </si>
  <si>
    <t>CUC-ENG-SOU</t>
  </si>
  <si>
    <t>SOU-260817-016</t>
  </si>
  <si>
    <t>PEP-MIX-SOU</t>
  </si>
  <si>
    <t>SOU-260817-017</t>
  </si>
  <si>
    <t>ONI-BRN-SOU</t>
  </si>
  <si>
    <t>SOU-260817-018</t>
  </si>
  <si>
    <t>COU-GRN-SOU</t>
  </si>
  <si>
    <t>SOU-260817-019</t>
  </si>
  <si>
    <t>AVO-HAS-SOU</t>
  </si>
  <si>
    <t>SOU-260817-020</t>
  </si>
  <si>
    <t>CAU-WHT-SOU</t>
  </si>
  <si>
    <t>SOU-260817-021</t>
  </si>
  <si>
    <t>SWP-ORG-SOU</t>
  </si>
  <si>
    <t>SOU-260817-022</t>
  </si>
  <si>
    <t>KIW-GRN-SOU</t>
  </si>
  <si>
    <t>SOU-260817-023</t>
  </si>
  <si>
    <t>RAS-TUL-SOU</t>
  </si>
  <si>
    <t>SOU-260817-024</t>
  </si>
  <si>
    <t>FreshFields Produce Ltd | Newcastle Hub Inventory</t>
  </si>
  <si>
    <t>NCL</t>
  </si>
  <si>
    <t>APP-GAL-NCL</t>
  </si>
  <si>
    <t>NCL-260817-001</t>
  </si>
  <si>
    <t>BAN-CAV-NCL</t>
  </si>
  <si>
    <t>NCL-260817-002</t>
  </si>
  <si>
    <t>ORA-NAV-NCL</t>
  </si>
  <si>
    <t>NCL-260817-003</t>
  </si>
  <si>
    <t>PEA-CON-NCL</t>
  </si>
  <si>
    <t>NCL-260817-004</t>
  </si>
  <si>
    <t>STR-ELS-NCL</t>
  </si>
  <si>
    <t>NCL-260817-005</t>
  </si>
  <si>
    <t>BLU-DUK-NCL</t>
  </si>
  <si>
    <t>NCL-260817-006</t>
  </si>
  <si>
    <t>GRA-GRN-NCL</t>
  </si>
  <si>
    <t>NCL-260817-007</t>
  </si>
  <si>
    <t>MAN-KEN-NCL</t>
  </si>
  <si>
    <t>NCL-260817-008</t>
  </si>
  <si>
    <t>PIN-GOL-NCL</t>
  </si>
  <si>
    <t>NCL-260817-009</t>
  </si>
  <si>
    <t>LEM-EUR-NCL</t>
  </si>
  <si>
    <t>NCL-260817-010</t>
  </si>
  <si>
    <t>POT-MP-NCL</t>
  </si>
  <si>
    <t>NCL-260817-011</t>
  </si>
  <si>
    <t>CAR-NAN-NCL</t>
  </si>
  <si>
    <t>NCL-260817-012</t>
  </si>
  <si>
    <t>BRO-CAL-NCL</t>
  </si>
  <si>
    <t>NCL-260817-013</t>
  </si>
  <si>
    <t>SPI-BAB-NCL</t>
  </si>
  <si>
    <t>NCL-260817-014</t>
  </si>
  <si>
    <t>TOM-VIN-NCL</t>
  </si>
  <si>
    <t>NCL-260817-015</t>
  </si>
  <si>
    <t>CUC-ENG-NCL</t>
  </si>
  <si>
    <t>NCL-260817-016</t>
  </si>
  <si>
    <t>PEP-MIX-NCL</t>
  </si>
  <si>
    <t>NCL-260817-017</t>
  </si>
  <si>
    <t>ONI-BRN-NCL</t>
  </si>
  <si>
    <t>NCL-260817-018</t>
  </si>
  <si>
    <t>COU-GRN-NCL</t>
  </si>
  <si>
    <t>NCL-260817-019</t>
  </si>
  <si>
    <t>AVO-HAS-NCL</t>
  </si>
  <si>
    <t>NCL-260817-020</t>
  </si>
  <si>
    <t>CAU-WHT-NCL</t>
  </si>
  <si>
    <t>NCL-260817-021</t>
  </si>
  <si>
    <t>SWP-ORG-NCL</t>
  </si>
  <si>
    <t>NCL-260817-022</t>
  </si>
  <si>
    <t>KIW-GRN-NCL</t>
  </si>
  <si>
    <t>NCL-260817-023</t>
  </si>
  <si>
    <t>RAS-TUL-NCL</t>
  </si>
  <si>
    <t>NCL-260817-024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</si>
</sst>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£0.00"/>
    <numFmt numFmtId="166" formatCode="\£#,##0.00"/>
    <numFmt numFmtId="167" formatCode="dd\-mmm\-yyyy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i/>
      <sz val="10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color rgb="FF0000FF"/>
      <name val="Cambria"/>
      <charset val="1"/>
    </font>
    <font>
      <sz val="11"/>
      <color rgb="FF666666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0F7"/>
        <bgColor rgb="FFDDEFEF"/>
      </patternFill>
    </fill>
    <fill>
      <patternFill patternType="solid">
        <fgColor rgb="FF00A6A6"/>
        <bgColor rgb="FF008080"/>
      </patternFill>
    </fill>
    <fill>
      <patternFill patternType="solid">
        <fgColor rgb="FFDDEFEF"/>
        <bgColor rgb="FFEAF0F7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EA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164" fontId="7" fillId="6" borderId="0" xfId="0" applyNumberFormat="1" applyFont="1" applyFill="1" applyAlignment="1">
      <alignment vertical="center"/>
    </xf>
    <xf numFmtId="165" fontId="6" fillId="6" borderId="0" xfId="0" applyNumberFormat="1" applyFont="1" applyFill="1" applyAlignment="1">
      <alignment vertical="center"/>
    </xf>
    <xf numFmtId="166" fontId="7" fillId="6" borderId="0" xfId="0" applyNumberFormat="1" applyFont="1" applyFill="1" applyAlignment="1">
      <alignment vertical="center"/>
    </xf>
    <xf numFmtId="167" fontId="5" fillId="6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64" fontId="7" fillId="7" borderId="0" xfId="0" applyNumberFormat="1" applyFont="1" applyFill="1" applyAlignment="1">
      <alignment vertical="center"/>
    </xf>
    <xf numFmtId="165" fontId="6" fillId="7" borderId="0" xfId="0" applyNumberFormat="1" applyFont="1" applyFill="1" applyAlignment="1">
      <alignment vertical="center"/>
    </xf>
    <xf numFmtId="166" fontId="7" fillId="7" borderId="0" xfId="0" applyNumberFormat="1" applyFont="1" applyFill="1" applyAlignment="1">
      <alignment vertical="center"/>
    </xf>
    <xf numFmtId="167" fontId="5" fillId="7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/>
  </cellXfs>
  <cellStyles count="1">
    <cellStyle name="Normal" xfId="0" builtinId="0"/>
  </cellStyles>
  <dxfs count="30"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4F7FA"/>
      <rgbColor rgb="FFDD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7"/>
      <rgbColor rgb="FFD9EAD3"/>
      <rgbColor rgb="FFFFFF99"/>
      <rgbColor rgb="FF99CCFF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Inventory_LON" displayName="Inventory_LON" ref="A4:Y28" totalsRowShown="0">
  <autoFilter ref="A4:Y28" xr:uid="{00000000-0009-0000-0100-000006000000}"/>
  <tableColumns count="25">
    <tableColumn id="1" xr3:uid="{00000000-0010-0000-0000-000001000000}" name="Product ID"/>
    <tableColumn id="2" xr3:uid="{00000000-0010-0000-0000-000002000000}" name="SKU"/>
    <tableColumn id="3" xr3:uid="{00000000-0010-0000-0000-000003000000}" name="Category"/>
    <tableColumn id="4" xr3:uid="{00000000-0010-0000-0000-000004000000}" name="Product Name"/>
    <tableColumn id="5" xr3:uid="{00000000-0010-0000-0000-000005000000}" name="Unit of Measure"/>
    <tableColumn id="6" xr3:uid="{00000000-0010-0000-0000-000006000000}" name="Batch ID"/>
    <tableColumn id="7" xr3:uid="{00000000-0010-0000-0000-000007000000}" name="Stock on Hand"/>
    <tableColumn id="8" xr3:uid="{00000000-0010-0000-0000-000008000000}" name="Reserved Stock"/>
    <tableColumn id="9" xr3:uid="{00000000-0010-0000-0000-000009000000}" name="Available Stock"/>
    <tableColumn id="10" xr3:uid="{00000000-0010-0000-0000-00000A000000}" name="Reorder Point"/>
    <tableColumn id="11" xr3:uid="{00000000-0010-0000-0000-00000B000000}" name="Safety Stock"/>
    <tableColumn id="12" xr3:uid="{00000000-0010-0000-0000-00000C000000}" name="Site Capacity"/>
    <tableColumn id="13" xr3:uid="{00000000-0010-0000-0000-00000D000000}" name="Capacity Used %"/>
    <tableColumn id="14" xr3:uid="{00000000-0010-0000-0000-00000E000000}" name="7-Day Forecast"/>
    <tableColumn id="15" xr3:uid="{00000000-0010-0000-0000-00000F000000}" name="30-Day Forecast"/>
    <tableColumn id="16" xr3:uid="{00000000-0010-0000-0000-000010000000}" name="Lead Time (Days)"/>
    <tableColumn id="17" xr3:uid="{00000000-0010-0000-0000-000011000000}" name="Shelf Life (Days)"/>
    <tableColumn id="18" xr3:uid="{00000000-0010-0000-0000-000012000000}" name="Unit Cost (£)"/>
    <tableColumn id="19" xr3:uid="{00000000-0010-0000-0000-000013000000}" name="Stock Value (£)"/>
    <tableColumn id="20" xr3:uid="{00000000-0010-0000-0000-000014000000}" name="Supplier"/>
    <tableColumn id="21" xr3:uid="{00000000-0010-0000-0000-000015000000}" name="Last Restock Date"/>
    <tableColumn id="22" xr3:uid="{00000000-0010-0000-0000-000016000000}" name="Expiry Date"/>
    <tableColumn id="23" xr3:uid="{00000000-0010-0000-0000-000017000000}" name="Storage Temp Min (°C)"/>
    <tableColumn id="24" xr3:uid="{00000000-0010-0000-0000-000018000000}" name="Storage Temp Max (°C)"/>
    <tableColumn id="25" xr3:uid="{00000000-0010-0000-0000-000019000000}" name="Inventory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ventory_BHM" displayName="Inventory_BHM" ref="A4:Y28" totalsRowShown="0">
  <autoFilter ref="A4:Y28" xr:uid="{00000000-0009-0000-0100-000001000000}"/>
  <tableColumns count="25">
    <tableColumn id="1" xr3:uid="{00000000-0010-0000-0100-000001000000}" name="Product ID"/>
    <tableColumn id="2" xr3:uid="{00000000-0010-0000-0100-000002000000}" name="SKU"/>
    <tableColumn id="3" xr3:uid="{00000000-0010-0000-0100-000003000000}" name="Category"/>
    <tableColumn id="4" xr3:uid="{00000000-0010-0000-0100-000004000000}" name="Product Name"/>
    <tableColumn id="5" xr3:uid="{00000000-0010-0000-0100-000005000000}" name="Unit of Measure"/>
    <tableColumn id="6" xr3:uid="{00000000-0010-0000-0100-000006000000}" name="Batch ID"/>
    <tableColumn id="7" xr3:uid="{00000000-0010-0000-0100-000007000000}" name="Stock on Hand"/>
    <tableColumn id="8" xr3:uid="{00000000-0010-0000-0100-000008000000}" name="Reserved Stock"/>
    <tableColumn id="9" xr3:uid="{00000000-0010-0000-0100-000009000000}" name="Available Stock"/>
    <tableColumn id="10" xr3:uid="{00000000-0010-0000-0100-00000A000000}" name="Reorder Point"/>
    <tableColumn id="11" xr3:uid="{00000000-0010-0000-0100-00000B000000}" name="Safety Stock"/>
    <tableColumn id="12" xr3:uid="{00000000-0010-0000-0100-00000C000000}" name="Site Capacity"/>
    <tableColumn id="13" xr3:uid="{00000000-0010-0000-0100-00000D000000}" name="Capacity Used %"/>
    <tableColumn id="14" xr3:uid="{00000000-0010-0000-0100-00000E000000}" name="7-Day Forecast"/>
    <tableColumn id="15" xr3:uid="{00000000-0010-0000-0100-00000F000000}" name="30-Day Forecast"/>
    <tableColumn id="16" xr3:uid="{00000000-0010-0000-0100-000010000000}" name="Lead Time (Days)"/>
    <tableColumn id="17" xr3:uid="{00000000-0010-0000-0100-000011000000}" name="Shelf Life (Days)"/>
    <tableColumn id="18" xr3:uid="{00000000-0010-0000-0100-000012000000}" name="Unit Cost (£)"/>
    <tableColumn id="19" xr3:uid="{00000000-0010-0000-0100-000013000000}" name="Stock Value (£)"/>
    <tableColumn id="20" xr3:uid="{00000000-0010-0000-0100-000014000000}" name="Supplier"/>
    <tableColumn id="21" xr3:uid="{00000000-0010-0000-0100-000015000000}" name="Last Restock Date"/>
    <tableColumn id="22" xr3:uid="{00000000-0010-0000-0100-000016000000}" name="Expiry Date"/>
    <tableColumn id="23" xr3:uid="{00000000-0010-0000-0100-000017000000}" name="Storage Temp Min (°C)"/>
    <tableColumn id="24" xr3:uid="{00000000-0010-0000-0100-000018000000}" name="Storage Temp Max (°C)"/>
    <tableColumn id="25" xr3:uid="{00000000-0010-0000-0100-000019000000}" name="Inventory 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Inventory_MAN" displayName="Inventory_MAN" ref="A4:Y28" totalsRowShown="0">
  <autoFilter ref="A4:Y28" xr:uid="{00000000-0009-0000-0100-000007000000}"/>
  <tableColumns count="25">
    <tableColumn id="1" xr3:uid="{00000000-0010-0000-0200-000001000000}" name="Product ID"/>
    <tableColumn id="2" xr3:uid="{00000000-0010-0000-0200-000002000000}" name="SKU"/>
    <tableColumn id="3" xr3:uid="{00000000-0010-0000-0200-000003000000}" name="Category"/>
    <tableColumn id="4" xr3:uid="{00000000-0010-0000-0200-000004000000}" name="Product Name"/>
    <tableColumn id="5" xr3:uid="{00000000-0010-0000-0200-000005000000}" name="Unit of Measure"/>
    <tableColumn id="6" xr3:uid="{00000000-0010-0000-0200-000006000000}" name="Batch ID"/>
    <tableColumn id="7" xr3:uid="{00000000-0010-0000-0200-000007000000}" name="Stock on Hand"/>
    <tableColumn id="8" xr3:uid="{00000000-0010-0000-0200-000008000000}" name="Reserved Stock"/>
    <tableColumn id="9" xr3:uid="{00000000-0010-0000-0200-000009000000}" name="Available Stock"/>
    <tableColumn id="10" xr3:uid="{00000000-0010-0000-0200-00000A000000}" name="Reorder Point"/>
    <tableColumn id="11" xr3:uid="{00000000-0010-0000-0200-00000B000000}" name="Safety Stock"/>
    <tableColumn id="12" xr3:uid="{00000000-0010-0000-0200-00000C000000}" name="Site Capacity"/>
    <tableColumn id="13" xr3:uid="{00000000-0010-0000-0200-00000D000000}" name="Capacity Used %"/>
    <tableColumn id="14" xr3:uid="{00000000-0010-0000-0200-00000E000000}" name="7-Day Forecast"/>
    <tableColumn id="15" xr3:uid="{00000000-0010-0000-0200-00000F000000}" name="30-Day Forecast"/>
    <tableColumn id="16" xr3:uid="{00000000-0010-0000-0200-000010000000}" name="Lead Time (Days)"/>
    <tableColumn id="17" xr3:uid="{00000000-0010-0000-0200-000011000000}" name="Shelf Life (Days)"/>
    <tableColumn id="18" xr3:uid="{00000000-0010-0000-0200-000012000000}" name="Unit Cost (£)"/>
    <tableColumn id="19" xr3:uid="{00000000-0010-0000-0200-000013000000}" name="Stock Value (£)"/>
    <tableColumn id="20" xr3:uid="{00000000-0010-0000-0200-000014000000}" name="Supplier"/>
    <tableColumn id="21" xr3:uid="{00000000-0010-0000-0200-000015000000}" name="Last Restock Date"/>
    <tableColumn id="22" xr3:uid="{00000000-0010-0000-0200-000016000000}" name="Expiry Date"/>
    <tableColumn id="23" xr3:uid="{00000000-0010-0000-0200-000017000000}" name="Storage Temp Min (°C)"/>
    <tableColumn id="24" xr3:uid="{00000000-0010-0000-0200-000018000000}" name="Storage Temp Max (°C)"/>
    <tableColumn id="25" xr3:uid="{00000000-0010-0000-0200-000019000000}" name="Inventory 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Inventory_LDS" displayName="Inventory_LDS" ref="A4:Y28" totalsRowShown="0">
  <autoFilter ref="A4:Y28" xr:uid="{00000000-0009-0000-0100-000005000000}"/>
  <tableColumns count="25">
    <tableColumn id="1" xr3:uid="{00000000-0010-0000-0300-000001000000}" name="Product ID"/>
    <tableColumn id="2" xr3:uid="{00000000-0010-0000-0300-000002000000}" name="SKU"/>
    <tableColumn id="3" xr3:uid="{00000000-0010-0000-0300-000003000000}" name="Category"/>
    <tableColumn id="4" xr3:uid="{00000000-0010-0000-0300-000004000000}" name="Product Name"/>
    <tableColumn id="5" xr3:uid="{00000000-0010-0000-0300-000005000000}" name="Unit of Measure"/>
    <tableColumn id="6" xr3:uid="{00000000-0010-0000-0300-000006000000}" name="Batch ID"/>
    <tableColumn id="7" xr3:uid="{00000000-0010-0000-0300-000007000000}" name="Stock on Hand"/>
    <tableColumn id="8" xr3:uid="{00000000-0010-0000-0300-000008000000}" name="Reserved Stock"/>
    <tableColumn id="9" xr3:uid="{00000000-0010-0000-0300-000009000000}" name="Available Stock"/>
    <tableColumn id="10" xr3:uid="{00000000-0010-0000-0300-00000A000000}" name="Reorder Point"/>
    <tableColumn id="11" xr3:uid="{00000000-0010-0000-0300-00000B000000}" name="Safety Stock"/>
    <tableColumn id="12" xr3:uid="{00000000-0010-0000-0300-00000C000000}" name="Site Capacity"/>
    <tableColumn id="13" xr3:uid="{00000000-0010-0000-0300-00000D000000}" name="Capacity Used %"/>
    <tableColumn id="14" xr3:uid="{00000000-0010-0000-0300-00000E000000}" name="7-Day Forecast"/>
    <tableColumn id="15" xr3:uid="{00000000-0010-0000-0300-00000F000000}" name="30-Day Forecast"/>
    <tableColumn id="16" xr3:uid="{00000000-0010-0000-0300-000010000000}" name="Lead Time (Days)"/>
    <tableColumn id="17" xr3:uid="{00000000-0010-0000-0300-000011000000}" name="Shelf Life (Days)"/>
    <tableColumn id="18" xr3:uid="{00000000-0010-0000-0300-000012000000}" name="Unit Cost (£)"/>
    <tableColumn id="19" xr3:uid="{00000000-0010-0000-0300-000013000000}" name="Stock Value (£)"/>
    <tableColumn id="20" xr3:uid="{00000000-0010-0000-0300-000014000000}" name="Supplier"/>
    <tableColumn id="21" xr3:uid="{00000000-0010-0000-0300-000015000000}" name="Last Restock Date"/>
    <tableColumn id="22" xr3:uid="{00000000-0010-0000-0300-000016000000}" name="Expiry Date"/>
    <tableColumn id="23" xr3:uid="{00000000-0010-0000-0300-000017000000}" name="Storage Temp Min (°C)"/>
    <tableColumn id="24" xr3:uid="{00000000-0010-0000-0300-000018000000}" name="Storage Temp Max (°C)"/>
    <tableColumn id="25" xr3:uid="{00000000-0010-0000-0300-000019000000}" name="Inventory 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Inventory_BRS" displayName="Inventory_BRS" ref="A4:Y28" totalsRowShown="0">
  <autoFilter ref="A4:Y28" xr:uid="{00000000-0009-0000-0100-000002000000}"/>
  <tableColumns count="25">
    <tableColumn id="1" xr3:uid="{00000000-0010-0000-0400-000001000000}" name="Product ID"/>
    <tableColumn id="2" xr3:uid="{00000000-0010-0000-0400-000002000000}" name="SKU"/>
    <tableColumn id="3" xr3:uid="{00000000-0010-0000-0400-000003000000}" name="Category"/>
    <tableColumn id="4" xr3:uid="{00000000-0010-0000-0400-000004000000}" name="Product Name"/>
    <tableColumn id="5" xr3:uid="{00000000-0010-0000-0400-000005000000}" name="Unit of Measure"/>
    <tableColumn id="6" xr3:uid="{00000000-0010-0000-0400-000006000000}" name="Batch ID"/>
    <tableColumn id="7" xr3:uid="{00000000-0010-0000-0400-000007000000}" name="Stock on Hand"/>
    <tableColumn id="8" xr3:uid="{00000000-0010-0000-0400-000008000000}" name="Reserved Stock"/>
    <tableColumn id="9" xr3:uid="{00000000-0010-0000-0400-000009000000}" name="Available Stock"/>
    <tableColumn id="10" xr3:uid="{00000000-0010-0000-0400-00000A000000}" name="Reorder Point"/>
    <tableColumn id="11" xr3:uid="{00000000-0010-0000-0400-00000B000000}" name="Safety Stock"/>
    <tableColumn id="12" xr3:uid="{00000000-0010-0000-0400-00000C000000}" name="Site Capacity"/>
    <tableColumn id="13" xr3:uid="{00000000-0010-0000-0400-00000D000000}" name="Capacity Used %"/>
    <tableColumn id="14" xr3:uid="{00000000-0010-0000-0400-00000E000000}" name="7-Day Forecast"/>
    <tableColumn id="15" xr3:uid="{00000000-0010-0000-0400-00000F000000}" name="30-Day Forecast"/>
    <tableColumn id="16" xr3:uid="{00000000-0010-0000-0400-000010000000}" name="Lead Time (Days)"/>
    <tableColumn id="17" xr3:uid="{00000000-0010-0000-0400-000011000000}" name="Shelf Life (Days)"/>
    <tableColumn id="18" xr3:uid="{00000000-0010-0000-0400-000012000000}" name="Unit Cost (£)"/>
    <tableColumn id="19" xr3:uid="{00000000-0010-0000-0400-000013000000}" name="Stock Value (£)"/>
    <tableColumn id="20" xr3:uid="{00000000-0010-0000-0400-000014000000}" name="Supplier"/>
    <tableColumn id="21" xr3:uid="{00000000-0010-0000-0400-000015000000}" name="Last Restock Date"/>
    <tableColumn id="22" xr3:uid="{00000000-0010-0000-0400-000016000000}" name="Expiry Date"/>
    <tableColumn id="23" xr3:uid="{00000000-0010-0000-0400-000017000000}" name="Storage Temp Min (°C)"/>
    <tableColumn id="24" xr3:uid="{00000000-0010-0000-0400-000018000000}" name="Storage Temp Max (°C)"/>
    <tableColumn id="25" xr3:uid="{00000000-0010-0000-0400-000019000000}" name="Inventory 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Inventory_GLA" displayName="Inventory_GLA" ref="A4:Y28" totalsRowShown="0">
  <autoFilter ref="A4:Y28" xr:uid="{00000000-0009-0000-0100-000004000000}"/>
  <tableColumns count="25">
    <tableColumn id="1" xr3:uid="{00000000-0010-0000-0500-000001000000}" name="Product ID"/>
    <tableColumn id="2" xr3:uid="{00000000-0010-0000-0500-000002000000}" name="SKU"/>
    <tableColumn id="3" xr3:uid="{00000000-0010-0000-0500-000003000000}" name="Category"/>
    <tableColumn id="4" xr3:uid="{00000000-0010-0000-0500-000004000000}" name="Product Name"/>
    <tableColumn id="5" xr3:uid="{00000000-0010-0000-0500-000005000000}" name="Unit of Measure"/>
    <tableColumn id="6" xr3:uid="{00000000-0010-0000-0500-000006000000}" name="Batch ID"/>
    <tableColumn id="7" xr3:uid="{00000000-0010-0000-0500-000007000000}" name="Stock on Hand"/>
    <tableColumn id="8" xr3:uid="{00000000-0010-0000-0500-000008000000}" name="Reserved Stock"/>
    <tableColumn id="9" xr3:uid="{00000000-0010-0000-0500-000009000000}" name="Available Stock"/>
    <tableColumn id="10" xr3:uid="{00000000-0010-0000-0500-00000A000000}" name="Reorder Point"/>
    <tableColumn id="11" xr3:uid="{00000000-0010-0000-0500-00000B000000}" name="Safety Stock"/>
    <tableColumn id="12" xr3:uid="{00000000-0010-0000-0500-00000C000000}" name="Site Capacity"/>
    <tableColumn id="13" xr3:uid="{00000000-0010-0000-0500-00000D000000}" name="Capacity Used %"/>
    <tableColumn id="14" xr3:uid="{00000000-0010-0000-0500-00000E000000}" name="7-Day Forecast"/>
    <tableColumn id="15" xr3:uid="{00000000-0010-0000-0500-00000F000000}" name="30-Day Forecast"/>
    <tableColumn id="16" xr3:uid="{00000000-0010-0000-0500-000010000000}" name="Lead Time (Days)"/>
    <tableColumn id="17" xr3:uid="{00000000-0010-0000-0500-000011000000}" name="Shelf Life (Days)"/>
    <tableColumn id="18" xr3:uid="{00000000-0010-0000-0500-000012000000}" name="Unit Cost (£)"/>
    <tableColumn id="19" xr3:uid="{00000000-0010-0000-0500-000013000000}" name="Stock Value (£)"/>
    <tableColumn id="20" xr3:uid="{00000000-0010-0000-0500-000014000000}" name="Supplier"/>
    <tableColumn id="21" xr3:uid="{00000000-0010-0000-0500-000015000000}" name="Last Restock Date"/>
    <tableColumn id="22" xr3:uid="{00000000-0010-0000-0500-000016000000}" name="Expiry Date"/>
    <tableColumn id="23" xr3:uid="{00000000-0010-0000-0500-000017000000}" name="Storage Temp Min (°C)"/>
    <tableColumn id="24" xr3:uid="{00000000-0010-0000-0500-000018000000}" name="Storage Temp Max (°C)"/>
    <tableColumn id="25" xr3:uid="{00000000-0010-0000-0500-000019000000}" name="Inventory Statu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Inventory_CDF" displayName="Inventory_CDF" ref="A4:Y28" totalsRowShown="0">
  <autoFilter ref="A4:Y28" xr:uid="{00000000-0009-0000-0100-000003000000}"/>
  <tableColumns count="25">
    <tableColumn id="1" xr3:uid="{00000000-0010-0000-0600-000001000000}" name="Product ID"/>
    <tableColumn id="2" xr3:uid="{00000000-0010-0000-0600-000002000000}" name="SKU"/>
    <tableColumn id="3" xr3:uid="{00000000-0010-0000-0600-000003000000}" name="Category"/>
    <tableColumn id="4" xr3:uid="{00000000-0010-0000-0600-000004000000}" name="Product Name"/>
    <tableColumn id="5" xr3:uid="{00000000-0010-0000-0600-000005000000}" name="Unit of Measure"/>
    <tableColumn id="6" xr3:uid="{00000000-0010-0000-0600-000006000000}" name="Batch ID"/>
    <tableColumn id="7" xr3:uid="{00000000-0010-0000-0600-000007000000}" name="Stock on Hand"/>
    <tableColumn id="8" xr3:uid="{00000000-0010-0000-0600-000008000000}" name="Reserved Stock"/>
    <tableColumn id="9" xr3:uid="{00000000-0010-0000-0600-000009000000}" name="Available Stock"/>
    <tableColumn id="10" xr3:uid="{00000000-0010-0000-0600-00000A000000}" name="Reorder Point"/>
    <tableColumn id="11" xr3:uid="{00000000-0010-0000-0600-00000B000000}" name="Safety Stock"/>
    <tableColumn id="12" xr3:uid="{00000000-0010-0000-0600-00000C000000}" name="Site Capacity"/>
    <tableColumn id="13" xr3:uid="{00000000-0010-0000-0600-00000D000000}" name="Capacity Used %"/>
    <tableColumn id="14" xr3:uid="{00000000-0010-0000-0600-00000E000000}" name="7-Day Forecast"/>
    <tableColumn id="15" xr3:uid="{00000000-0010-0000-0600-00000F000000}" name="30-Day Forecast"/>
    <tableColumn id="16" xr3:uid="{00000000-0010-0000-0600-000010000000}" name="Lead Time (Days)"/>
    <tableColumn id="17" xr3:uid="{00000000-0010-0000-0600-000011000000}" name="Shelf Life (Days)"/>
    <tableColumn id="18" xr3:uid="{00000000-0010-0000-0600-000012000000}" name="Unit Cost (£)"/>
    <tableColumn id="19" xr3:uid="{00000000-0010-0000-0600-000013000000}" name="Stock Value (£)"/>
    <tableColumn id="20" xr3:uid="{00000000-0010-0000-0600-000014000000}" name="Supplier"/>
    <tableColumn id="21" xr3:uid="{00000000-0010-0000-0600-000015000000}" name="Last Restock Date"/>
    <tableColumn id="22" xr3:uid="{00000000-0010-0000-0600-000016000000}" name="Expiry Date"/>
    <tableColumn id="23" xr3:uid="{00000000-0010-0000-0600-000017000000}" name="Storage Temp Min (°C)"/>
    <tableColumn id="24" xr3:uid="{00000000-0010-0000-0600-000018000000}" name="Storage Temp Max (°C)"/>
    <tableColumn id="25" xr3:uid="{00000000-0010-0000-0600-000019000000}" name="Inventory Stat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nventory_NTG" displayName="Inventory_NTG" ref="A4:Y28" totalsRowShown="0">
  <autoFilter ref="A4:Y28" xr:uid="{00000000-0009-0000-0100-000009000000}"/>
  <tableColumns count="25">
    <tableColumn id="1" xr3:uid="{00000000-0010-0000-0700-000001000000}" name="Product ID"/>
    <tableColumn id="2" xr3:uid="{00000000-0010-0000-0700-000002000000}" name="SKU"/>
    <tableColumn id="3" xr3:uid="{00000000-0010-0000-0700-000003000000}" name="Category"/>
    <tableColumn id="4" xr3:uid="{00000000-0010-0000-0700-000004000000}" name="Product Name"/>
    <tableColumn id="5" xr3:uid="{00000000-0010-0000-0700-000005000000}" name="Unit of Measure"/>
    <tableColumn id="6" xr3:uid="{00000000-0010-0000-0700-000006000000}" name="Batch ID"/>
    <tableColumn id="7" xr3:uid="{00000000-0010-0000-0700-000007000000}" name="Stock on Hand"/>
    <tableColumn id="8" xr3:uid="{00000000-0010-0000-0700-000008000000}" name="Reserved Stock"/>
    <tableColumn id="9" xr3:uid="{00000000-0010-0000-0700-000009000000}" name="Available Stock"/>
    <tableColumn id="10" xr3:uid="{00000000-0010-0000-0700-00000A000000}" name="Reorder Point"/>
    <tableColumn id="11" xr3:uid="{00000000-0010-0000-0700-00000B000000}" name="Safety Stock"/>
    <tableColumn id="12" xr3:uid="{00000000-0010-0000-0700-00000C000000}" name="Site Capacity"/>
    <tableColumn id="13" xr3:uid="{00000000-0010-0000-0700-00000D000000}" name="Capacity Used %"/>
    <tableColumn id="14" xr3:uid="{00000000-0010-0000-0700-00000E000000}" name="7-Day Forecast"/>
    <tableColumn id="15" xr3:uid="{00000000-0010-0000-0700-00000F000000}" name="30-Day Forecast"/>
    <tableColumn id="16" xr3:uid="{00000000-0010-0000-0700-000010000000}" name="Lead Time (Days)"/>
    <tableColumn id="17" xr3:uid="{00000000-0010-0000-0700-000011000000}" name="Shelf Life (Days)"/>
    <tableColumn id="18" xr3:uid="{00000000-0010-0000-0700-000012000000}" name="Unit Cost (£)"/>
    <tableColumn id="19" xr3:uid="{00000000-0010-0000-0700-000013000000}" name="Stock Value (£)"/>
    <tableColumn id="20" xr3:uid="{00000000-0010-0000-0700-000014000000}" name="Supplier"/>
    <tableColumn id="21" xr3:uid="{00000000-0010-0000-0700-000015000000}" name="Last Restock Date"/>
    <tableColumn id="22" xr3:uid="{00000000-0010-0000-0700-000016000000}" name="Expiry Date"/>
    <tableColumn id="23" xr3:uid="{00000000-0010-0000-0700-000017000000}" name="Storage Temp Min (°C)"/>
    <tableColumn id="24" xr3:uid="{00000000-0010-0000-0700-000018000000}" name="Storage Temp Max (°C)"/>
    <tableColumn id="25" xr3:uid="{00000000-0010-0000-0700-000019000000}" name="Inventory Statu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Inventory_SOU" displayName="Inventory_SOU" ref="A4:Y28" totalsRowShown="0">
  <autoFilter ref="A4:Y28" xr:uid="{00000000-0009-0000-0100-00000A000000}"/>
  <tableColumns count="25">
    <tableColumn id="1" xr3:uid="{00000000-0010-0000-0800-000001000000}" name="Product ID"/>
    <tableColumn id="2" xr3:uid="{00000000-0010-0000-0800-000002000000}" name="SKU"/>
    <tableColumn id="3" xr3:uid="{00000000-0010-0000-0800-000003000000}" name="Category"/>
    <tableColumn id="4" xr3:uid="{00000000-0010-0000-0800-000004000000}" name="Product Name"/>
    <tableColumn id="5" xr3:uid="{00000000-0010-0000-0800-000005000000}" name="Unit of Measure"/>
    <tableColumn id="6" xr3:uid="{00000000-0010-0000-0800-000006000000}" name="Batch ID"/>
    <tableColumn id="7" xr3:uid="{00000000-0010-0000-0800-000007000000}" name="Stock on Hand"/>
    <tableColumn id="8" xr3:uid="{00000000-0010-0000-0800-000008000000}" name="Reserved Stock"/>
    <tableColumn id="9" xr3:uid="{00000000-0010-0000-0800-000009000000}" name="Available Stock"/>
    <tableColumn id="10" xr3:uid="{00000000-0010-0000-0800-00000A000000}" name="Reorder Point"/>
    <tableColumn id="11" xr3:uid="{00000000-0010-0000-0800-00000B000000}" name="Safety Stock"/>
    <tableColumn id="12" xr3:uid="{00000000-0010-0000-0800-00000C000000}" name="Site Capacity"/>
    <tableColumn id="13" xr3:uid="{00000000-0010-0000-0800-00000D000000}" name="Capacity Used %"/>
    <tableColumn id="14" xr3:uid="{00000000-0010-0000-0800-00000E000000}" name="7-Day Forecast"/>
    <tableColumn id="15" xr3:uid="{00000000-0010-0000-0800-00000F000000}" name="30-Day Forecast"/>
    <tableColumn id="16" xr3:uid="{00000000-0010-0000-0800-000010000000}" name="Lead Time (Days)"/>
    <tableColumn id="17" xr3:uid="{00000000-0010-0000-0800-000011000000}" name="Shelf Life (Days)"/>
    <tableColumn id="18" xr3:uid="{00000000-0010-0000-0800-000012000000}" name="Unit Cost (£)"/>
    <tableColumn id="19" xr3:uid="{00000000-0010-0000-0800-000013000000}" name="Stock Value (£)"/>
    <tableColumn id="20" xr3:uid="{00000000-0010-0000-0800-000014000000}" name="Supplier"/>
    <tableColumn id="21" xr3:uid="{00000000-0010-0000-0800-000015000000}" name="Last Restock Date"/>
    <tableColumn id="22" xr3:uid="{00000000-0010-0000-0800-000016000000}" name="Expiry Date"/>
    <tableColumn id="23" xr3:uid="{00000000-0010-0000-0800-000017000000}" name="Storage Temp Min (°C)"/>
    <tableColumn id="24" xr3:uid="{00000000-0010-0000-0800-000018000000}" name="Storage Temp Max (°C)"/>
    <tableColumn id="25" xr3:uid="{00000000-0010-0000-0800-000019000000}" name="Inventory Statu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Inventory_NCL" displayName="Inventory_NCL" ref="A4:Y28" totalsRowShown="0">
  <autoFilter ref="A4:Y28" xr:uid="{00000000-0009-0000-0100-000008000000}"/>
  <tableColumns count="25">
    <tableColumn id="1" xr3:uid="{00000000-0010-0000-0900-000001000000}" name="Product ID"/>
    <tableColumn id="2" xr3:uid="{00000000-0010-0000-0900-000002000000}" name="SKU"/>
    <tableColumn id="3" xr3:uid="{00000000-0010-0000-0900-000003000000}" name="Category"/>
    <tableColumn id="4" xr3:uid="{00000000-0010-0000-0900-000004000000}" name="Product Name"/>
    <tableColumn id="5" xr3:uid="{00000000-0010-0000-0900-000005000000}" name="Unit of Measure"/>
    <tableColumn id="6" xr3:uid="{00000000-0010-0000-0900-000006000000}" name="Batch ID"/>
    <tableColumn id="7" xr3:uid="{00000000-0010-0000-0900-000007000000}" name="Stock on Hand"/>
    <tableColumn id="8" xr3:uid="{00000000-0010-0000-0900-000008000000}" name="Reserved Stock"/>
    <tableColumn id="9" xr3:uid="{00000000-0010-0000-0900-000009000000}" name="Available Stock"/>
    <tableColumn id="10" xr3:uid="{00000000-0010-0000-0900-00000A000000}" name="Reorder Point"/>
    <tableColumn id="11" xr3:uid="{00000000-0010-0000-0900-00000B000000}" name="Safety Stock"/>
    <tableColumn id="12" xr3:uid="{00000000-0010-0000-0900-00000C000000}" name="Site Capacity"/>
    <tableColumn id="13" xr3:uid="{00000000-0010-0000-0900-00000D000000}" name="Capacity Used %"/>
    <tableColumn id="14" xr3:uid="{00000000-0010-0000-0900-00000E000000}" name="7-Day Forecast"/>
    <tableColumn id="15" xr3:uid="{00000000-0010-0000-0900-00000F000000}" name="30-Day Forecast"/>
    <tableColumn id="16" xr3:uid="{00000000-0010-0000-0900-000010000000}" name="Lead Time (Days)"/>
    <tableColumn id="17" xr3:uid="{00000000-0010-0000-0900-000011000000}" name="Shelf Life (Days)"/>
    <tableColumn id="18" xr3:uid="{00000000-0010-0000-0900-000012000000}" name="Unit Cost (£)"/>
    <tableColumn id="19" xr3:uid="{00000000-0010-0000-0900-000013000000}" name="Stock Value (£)"/>
    <tableColumn id="20" xr3:uid="{00000000-0010-0000-0900-000014000000}" name="Supplier"/>
    <tableColumn id="21" xr3:uid="{00000000-0010-0000-0900-000015000000}" name="Last Restock Date"/>
    <tableColumn id="22" xr3:uid="{00000000-0010-0000-0900-000016000000}" name="Expiry Date"/>
    <tableColumn id="23" xr3:uid="{00000000-0010-0000-0900-000017000000}" name="Storage Temp Min (°C)"/>
    <tableColumn id="24" xr3:uid="{00000000-0010-0000-0900-000018000000}" name="Storage Temp Max (°C)"/>
    <tableColumn id="25" xr3:uid="{00000000-0010-0000-0900-000019000000}" name="Inventory 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Y28"/>
  <sheetViews>
    <sheetView showGridLines="0" tabSelected="1" zoomScaleNormal="100" workbookViewId="0">
      <pane ySplit="4" topLeftCell="A5" activePane="bottomLeft" state="frozen"/>
      <selection pane="bottomLeft" sqref="A1:Y1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3</v>
      </c>
      <c r="D3" s="1" t="s">
        <v>4</v>
      </c>
      <c r="E3" s="2">
        <v>24</v>
      </c>
      <c r="G3" s="1" t="s">
        <v>5</v>
      </c>
      <c r="H3" s="2">
        <v>11000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5">
        <v>138</v>
      </c>
      <c r="H5" s="5">
        <v>16</v>
      </c>
      <c r="I5" s="6">
        <f t="shared" ref="I5:I28" si="0">G5-H5</f>
        <v>122</v>
      </c>
      <c r="J5" s="5">
        <v>146</v>
      </c>
      <c r="K5" s="5">
        <v>97</v>
      </c>
      <c r="L5" s="5">
        <v>11000</v>
      </c>
      <c r="M5" s="7">
        <f t="shared" ref="M5:M28" si="1">G5/L5</f>
        <v>1.2545454545454545E-2</v>
      </c>
      <c r="N5" s="5">
        <v>173</v>
      </c>
      <c r="O5" s="5">
        <v>717</v>
      </c>
      <c r="P5" s="5">
        <v>2</v>
      </c>
      <c r="Q5" s="5">
        <v>45</v>
      </c>
      <c r="R5" s="8">
        <v>1.39</v>
      </c>
      <c r="S5" s="9">
        <f t="shared" ref="S5:S28" si="2">G5*R5</f>
        <v>191.82</v>
      </c>
      <c r="T5" s="4" t="s">
        <v>36</v>
      </c>
      <c r="U5" s="10">
        <v>46245</v>
      </c>
      <c r="V5" s="10">
        <v>46290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Reorder</v>
      </c>
    </row>
    <row r="6" spans="1:25" x14ac:dyDescent="0.35">
      <c r="A6" s="11" t="s">
        <v>37</v>
      </c>
      <c r="B6" s="11" t="s">
        <v>38</v>
      </c>
      <c r="C6" s="11" t="s">
        <v>32</v>
      </c>
      <c r="D6" s="11" t="s">
        <v>39</v>
      </c>
      <c r="E6" s="11" t="s">
        <v>34</v>
      </c>
      <c r="F6" s="11" t="s">
        <v>40</v>
      </c>
      <c r="G6" s="12">
        <v>506</v>
      </c>
      <c r="H6" s="12">
        <v>57</v>
      </c>
      <c r="I6" s="13">
        <f t="shared" si="0"/>
        <v>449</v>
      </c>
      <c r="J6" s="12">
        <v>157</v>
      </c>
      <c r="K6" s="12">
        <v>34</v>
      </c>
      <c r="L6" s="12">
        <v>11000</v>
      </c>
      <c r="M6" s="14">
        <f t="shared" si="1"/>
        <v>4.5999999999999999E-2</v>
      </c>
      <c r="N6" s="12">
        <v>230</v>
      </c>
      <c r="O6" s="12">
        <v>960</v>
      </c>
      <c r="P6" s="12">
        <v>5</v>
      </c>
      <c r="Q6" s="12">
        <v>18</v>
      </c>
      <c r="R6" s="15">
        <v>2.09</v>
      </c>
      <c r="S6" s="16">
        <f t="shared" si="2"/>
        <v>1057.54</v>
      </c>
      <c r="T6" s="11" t="s">
        <v>41</v>
      </c>
      <c r="U6" s="17">
        <v>46250</v>
      </c>
      <c r="V6" s="17">
        <v>46268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43</v>
      </c>
      <c r="C7" s="4" t="s">
        <v>32</v>
      </c>
      <c r="D7" s="4" t="s">
        <v>44</v>
      </c>
      <c r="E7" s="4" t="s">
        <v>34</v>
      </c>
      <c r="F7" s="4" t="s">
        <v>45</v>
      </c>
      <c r="G7" s="5">
        <v>505</v>
      </c>
      <c r="H7" s="5">
        <v>37</v>
      </c>
      <c r="I7" s="6">
        <f t="shared" si="0"/>
        <v>468</v>
      </c>
      <c r="J7" s="5">
        <v>123</v>
      </c>
      <c r="K7" s="5">
        <v>68</v>
      </c>
      <c r="L7" s="5">
        <v>11000</v>
      </c>
      <c r="M7" s="7">
        <f t="shared" si="1"/>
        <v>4.5909090909090906E-2</v>
      </c>
      <c r="N7" s="5">
        <v>200</v>
      </c>
      <c r="O7" s="5">
        <v>780</v>
      </c>
      <c r="P7" s="5">
        <v>3</v>
      </c>
      <c r="Q7" s="5">
        <v>38</v>
      </c>
      <c r="R7" s="8">
        <v>4.2</v>
      </c>
      <c r="S7" s="9">
        <f t="shared" si="2"/>
        <v>2121</v>
      </c>
      <c r="T7" s="4" t="s">
        <v>46</v>
      </c>
      <c r="U7" s="10">
        <v>46251</v>
      </c>
      <c r="V7" s="10">
        <v>46289</v>
      </c>
      <c r="W7" s="4">
        <v>4</v>
      </c>
      <c r="X7" s="4">
        <v>8</v>
      </c>
      <c r="Y7" s="6" t="str">
        <f t="shared" si="3"/>
        <v>Healthy</v>
      </c>
    </row>
    <row r="8" spans="1:25" x14ac:dyDescent="0.35">
      <c r="A8" s="11" t="s">
        <v>47</v>
      </c>
      <c r="B8" s="11" t="s">
        <v>48</v>
      </c>
      <c r="C8" s="11" t="s">
        <v>32</v>
      </c>
      <c r="D8" s="11" t="s">
        <v>49</v>
      </c>
      <c r="E8" s="11" t="s">
        <v>34</v>
      </c>
      <c r="F8" s="11" t="s">
        <v>50</v>
      </c>
      <c r="G8" s="12">
        <v>229</v>
      </c>
      <c r="H8" s="12">
        <v>22</v>
      </c>
      <c r="I8" s="13">
        <f t="shared" si="0"/>
        <v>207</v>
      </c>
      <c r="J8" s="12">
        <v>112</v>
      </c>
      <c r="K8" s="12">
        <v>61</v>
      </c>
      <c r="L8" s="12">
        <v>11000</v>
      </c>
      <c r="M8" s="14">
        <f t="shared" si="1"/>
        <v>2.0818181818181819E-2</v>
      </c>
      <c r="N8" s="12">
        <v>232</v>
      </c>
      <c r="O8" s="12">
        <v>981</v>
      </c>
      <c r="P8" s="12">
        <v>3</v>
      </c>
      <c r="Q8" s="12">
        <v>35</v>
      </c>
      <c r="R8" s="15">
        <v>3.16</v>
      </c>
      <c r="S8" s="16">
        <f t="shared" si="2"/>
        <v>723.64</v>
      </c>
      <c r="T8" s="11" t="s">
        <v>36</v>
      </c>
      <c r="U8" s="17">
        <v>46251</v>
      </c>
      <c r="V8" s="17">
        <v>46286</v>
      </c>
      <c r="W8" s="11">
        <v>1</v>
      </c>
      <c r="X8" s="11">
        <v>5</v>
      </c>
      <c r="Y8" s="13" t="str">
        <f t="shared" si="3"/>
        <v>Below Forecast</v>
      </c>
    </row>
    <row r="9" spans="1:25" x14ac:dyDescent="0.35">
      <c r="A9" s="4" t="s">
        <v>51</v>
      </c>
      <c r="B9" s="4" t="s">
        <v>52</v>
      </c>
      <c r="C9" s="4" t="s">
        <v>32</v>
      </c>
      <c r="D9" s="4" t="s">
        <v>53</v>
      </c>
      <c r="E9" s="4" t="s">
        <v>54</v>
      </c>
      <c r="F9" s="4" t="s">
        <v>55</v>
      </c>
      <c r="G9" s="5">
        <v>438</v>
      </c>
      <c r="H9" s="5">
        <v>2</v>
      </c>
      <c r="I9" s="6">
        <f t="shared" si="0"/>
        <v>436</v>
      </c>
      <c r="J9" s="5">
        <v>146</v>
      </c>
      <c r="K9" s="5">
        <v>78</v>
      </c>
      <c r="L9" s="5">
        <v>11000</v>
      </c>
      <c r="M9" s="7">
        <f t="shared" si="1"/>
        <v>3.9818181818181815E-2</v>
      </c>
      <c r="N9" s="5">
        <v>128</v>
      </c>
      <c r="O9" s="5">
        <v>594</v>
      </c>
      <c r="P9" s="5">
        <v>1</v>
      </c>
      <c r="Q9" s="5">
        <v>7</v>
      </c>
      <c r="R9" s="8">
        <v>3.81</v>
      </c>
      <c r="S9" s="9">
        <f t="shared" si="2"/>
        <v>1668.78</v>
      </c>
      <c r="T9" s="4" t="s">
        <v>56</v>
      </c>
      <c r="U9" s="10">
        <v>46249</v>
      </c>
      <c r="V9" s="10">
        <v>46256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58</v>
      </c>
      <c r="C10" s="11" t="s">
        <v>32</v>
      </c>
      <c r="D10" s="11" t="s">
        <v>59</v>
      </c>
      <c r="E10" s="11" t="s">
        <v>54</v>
      </c>
      <c r="F10" s="11" t="s">
        <v>60</v>
      </c>
      <c r="G10" s="12">
        <v>477</v>
      </c>
      <c r="H10" s="12">
        <v>25</v>
      </c>
      <c r="I10" s="13">
        <f t="shared" si="0"/>
        <v>452</v>
      </c>
      <c r="J10" s="12">
        <v>212</v>
      </c>
      <c r="K10" s="12">
        <v>97</v>
      </c>
      <c r="L10" s="12">
        <v>11000</v>
      </c>
      <c r="M10" s="14">
        <f t="shared" si="1"/>
        <v>4.3363636363636361E-2</v>
      </c>
      <c r="N10" s="12">
        <v>169</v>
      </c>
      <c r="O10" s="12">
        <v>677</v>
      </c>
      <c r="P10" s="12">
        <v>2</v>
      </c>
      <c r="Q10" s="12">
        <v>14</v>
      </c>
      <c r="R10" s="15">
        <v>4.25</v>
      </c>
      <c r="S10" s="16">
        <f t="shared" si="2"/>
        <v>2027.25</v>
      </c>
      <c r="T10" s="11" t="s">
        <v>56</v>
      </c>
      <c r="U10" s="17">
        <v>46245</v>
      </c>
      <c r="V10" s="17">
        <v>46259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62</v>
      </c>
      <c r="C11" s="4" t="s">
        <v>32</v>
      </c>
      <c r="D11" s="4" t="s">
        <v>63</v>
      </c>
      <c r="E11" s="4" t="s">
        <v>54</v>
      </c>
      <c r="F11" s="4" t="s">
        <v>64</v>
      </c>
      <c r="G11" s="5">
        <v>193</v>
      </c>
      <c r="H11" s="5">
        <v>53</v>
      </c>
      <c r="I11" s="6">
        <f t="shared" si="0"/>
        <v>140</v>
      </c>
      <c r="J11" s="5">
        <v>105</v>
      </c>
      <c r="K11" s="5">
        <v>73</v>
      </c>
      <c r="L11" s="5">
        <v>11000</v>
      </c>
      <c r="M11" s="7">
        <f t="shared" si="1"/>
        <v>1.7545454545454545E-2</v>
      </c>
      <c r="N11" s="5">
        <v>99</v>
      </c>
      <c r="O11" s="5">
        <v>329</v>
      </c>
      <c r="P11" s="5">
        <v>3</v>
      </c>
      <c r="Q11" s="5">
        <v>21</v>
      </c>
      <c r="R11" s="8">
        <v>0.91</v>
      </c>
      <c r="S11" s="9">
        <f t="shared" si="2"/>
        <v>175.63</v>
      </c>
      <c r="T11" s="4" t="s">
        <v>65</v>
      </c>
      <c r="U11" s="10">
        <v>46245</v>
      </c>
      <c r="V11" s="10">
        <v>46266</v>
      </c>
      <c r="W11" s="4">
        <v>2</v>
      </c>
      <c r="X11" s="4">
        <v>7</v>
      </c>
      <c r="Y11" s="6" t="str">
        <f t="shared" si="3"/>
        <v>Healthy</v>
      </c>
    </row>
    <row r="12" spans="1:25" x14ac:dyDescent="0.35">
      <c r="A12" s="11" t="s">
        <v>66</v>
      </c>
      <c r="B12" s="11" t="s">
        <v>67</v>
      </c>
      <c r="C12" s="11" t="s">
        <v>32</v>
      </c>
      <c r="D12" s="11" t="s">
        <v>68</v>
      </c>
      <c r="E12" s="11" t="s">
        <v>69</v>
      </c>
      <c r="F12" s="11" t="s">
        <v>70</v>
      </c>
      <c r="G12" s="12">
        <v>273</v>
      </c>
      <c r="H12" s="12">
        <v>82</v>
      </c>
      <c r="I12" s="13">
        <f t="shared" si="0"/>
        <v>191</v>
      </c>
      <c r="J12" s="12">
        <v>108</v>
      </c>
      <c r="K12" s="12">
        <v>78</v>
      </c>
      <c r="L12" s="12">
        <v>11000</v>
      </c>
      <c r="M12" s="14">
        <f t="shared" si="1"/>
        <v>2.4818181818181819E-2</v>
      </c>
      <c r="N12" s="12">
        <v>85</v>
      </c>
      <c r="O12" s="12">
        <v>413</v>
      </c>
      <c r="P12" s="12">
        <v>5</v>
      </c>
      <c r="Q12" s="12">
        <v>14</v>
      </c>
      <c r="R12" s="15">
        <v>2.12</v>
      </c>
      <c r="S12" s="16">
        <f t="shared" si="2"/>
        <v>578.76</v>
      </c>
      <c r="T12" s="11" t="s">
        <v>41</v>
      </c>
      <c r="U12" s="17">
        <v>46249</v>
      </c>
      <c r="V12" s="17">
        <v>46263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72</v>
      </c>
      <c r="C13" s="4" t="s">
        <v>32</v>
      </c>
      <c r="D13" s="4" t="s">
        <v>73</v>
      </c>
      <c r="E13" s="4" t="s">
        <v>69</v>
      </c>
      <c r="F13" s="4" t="s">
        <v>74</v>
      </c>
      <c r="G13" s="5">
        <v>185</v>
      </c>
      <c r="H13" s="5">
        <v>52</v>
      </c>
      <c r="I13" s="6">
        <f t="shared" si="0"/>
        <v>133</v>
      </c>
      <c r="J13" s="5">
        <v>171</v>
      </c>
      <c r="K13" s="5">
        <v>62</v>
      </c>
      <c r="L13" s="5">
        <v>11000</v>
      </c>
      <c r="M13" s="7">
        <f t="shared" si="1"/>
        <v>1.6818181818181819E-2</v>
      </c>
      <c r="N13" s="5">
        <v>288</v>
      </c>
      <c r="O13" s="5">
        <v>1092</v>
      </c>
      <c r="P13" s="5">
        <v>6</v>
      </c>
      <c r="Q13" s="5">
        <v>18</v>
      </c>
      <c r="R13" s="8">
        <v>1.8</v>
      </c>
      <c r="S13" s="9">
        <f t="shared" si="2"/>
        <v>333</v>
      </c>
      <c r="T13" s="4" t="s">
        <v>41</v>
      </c>
      <c r="U13" s="10">
        <v>46243</v>
      </c>
      <c r="V13" s="10">
        <v>46261</v>
      </c>
      <c r="W13" s="4">
        <v>8</v>
      </c>
      <c r="X13" s="4">
        <v>13</v>
      </c>
      <c r="Y13" s="6" t="str">
        <f t="shared" si="3"/>
        <v>Reorder</v>
      </c>
    </row>
    <row r="14" spans="1:25" x14ac:dyDescent="0.35">
      <c r="A14" s="11" t="s">
        <v>75</v>
      </c>
      <c r="B14" s="11" t="s">
        <v>76</v>
      </c>
      <c r="C14" s="11" t="s">
        <v>32</v>
      </c>
      <c r="D14" s="11" t="s">
        <v>77</v>
      </c>
      <c r="E14" s="11" t="s">
        <v>34</v>
      </c>
      <c r="F14" s="11" t="s">
        <v>78</v>
      </c>
      <c r="G14" s="12">
        <v>90</v>
      </c>
      <c r="H14" s="12">
        <v>6</v>
      </c>
      <c r="I14" s="13">
        <f t="shared" si="0"/>
        <v>84</v>
      </c>
      <c r="J14" s="12">
        <v>105</v>
      </c>
      <c r="K14" s="12">
        <v>94</v>
      </c>
      <c r="L14" s="12">
        <v>11000</v>
      </c>
      <c r="M14" s="14">
        <f t="shared" si="1"/>
        <v>8.1818181818181825E-3</v>
      </c>
      <c r="N14" s="12">
        <v>147</v>
      </c>
      <c r="O14" s="12">
        <v>650</v>
      </c>
      <c r="P14" s="12">
        <v>3</v>
      </c>
      <c r="Q14" s="12">
        <v>42</v>
      </c>
      <c r="R14" s="15">
        <v>4</v>
      </c>
      <c r="S14" s="16">
        <f t="shared" si="2"/>
        <v>360</v>
      </c>
      <c r="T14" s="11" t="s">
        <v>46</v>
      </c>
      <c r="U14" s="17">
        <v>46243</v>
      </c>
      <c r="V14" s="17">
        <v>46285</v>
      </c>
      <c r="W14" s="11">
        <v>5</v>
      </c>
      <c r="X14" s="11">
        <v>9</v>
      </c>
      <c r="Y14" s="13" t="str">
        <f t="shared" si="3"/>
        <v>Critical</v>
      </c>
    </row>
    <row r="15" spans="1:25" x14ac:dyDescent="0.35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34</v>
      </c>
      <c r="F15" s="4" t="s">
        <v>83</v>
      </c>
      <c r="G15" s="5">
        <v>477</v>
      </c>
      <c r="H15" s="5">
        <v>78</v>
      </c>
      <c r="I15" s="6">
        <f t="shared" si="0"/>
        <v>399</v>
      </c>
      <c r="J15" s="5">
        <v>85</v>
      </c>
      <c r="K15" s="5">
        <v>31</v>
      </c>
      <c r="L15" s="5">
        <v>11000</v>
      </c>
      <c r="M15" s="7">
        <f t="shared" si="1"/>
        <v>4.3363636363636361E-2</v>
      </c>
      <c r="N15" s="5">
        <v>206</v>
      </c>
      <c r="O15" s="5">
        <v>879</v>
      </c>
      <c r="P15" s="5">
        <v>2</v>
      </c>
      <c r="Q15" s="5">
        <v>75</v>
      </c>
      <c r="R15" s="8">
        <v>1.33</v>
      </c>
      <c r="S15" s="9">
        <f t="shared" si="2"/>
        <v>634.41000000000008</v>
      </c>
      <c r="T15" s="4" t="s">
        <v>84</v>
      </c>
      <c r="U15" s="10">
        <v>46247</v>
      </c>
      <c r="V15" s="10">
        <v>46322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86</v>
      </c>
      <c r="C16" s="11" t="s">
        <v>81</v>
      </c>
      <c r="D16" s="11" t="s">
        <v>87</v>
      </c>
      <c r="E16" s="11" t="s">
        <v>34</v>
      </c>
      <c r="F16" s="11" t="s">
        <v>88</v>
      </c>
      <c r="G16" s="12">
        <v>180</v>
      </c>
      <c r="H16" s="12">
        <v>8</v>
      </c>
      <c r="I16" s="13">
        <f t="shared" si="0"/>
        <v>172</v>
      </c>
      <c r="J16" s="12">
        <v>90</v>
      </c>
      <c r="K16" s="12">
        <v>63</v>
      </c>
      <c r="L16" s="12">
        <v>11000</v>
      </c>
      <c r="M16" s="14">
        <f t="shared" si="1"/>
        <v>1.6363636363636365E-2</v>
      </c>
      <c r="N16" s="12">
        <v>272</v>
      </c>
      <c r="O16" s="12">
        <v>1032</v>
      </c>
      <c r="P16" s="12">
        <v>2</v>
      </c>
      <c r="Q16" s="12">
        <v>35</v>
      </c>
      <c r="R16" s="15">
        <v>1.87</v>
      </c>
      <c r="S16" s="16">
        <f t="shared" si="2"/>
        <v>336.6</v>
      </c>
      <c r="T16" s="11" t="s">
        <v>89</v>
      </c>
      <c r="U16" s="17">
        <v>46250</v>
      </c>
      <c r="V16" s="17">
        <v>46285</v>
      </c>
      <c r="W16" s="11">
        <v>2</v>
      </c>
      <c r="X16" s="11">
        <v>6</v>
      </c>
      <c r="Y16" s="13" t="str">
        <f t="shared" si="3"/>
        <v>Below Forecast</v>
      </c>
    </row>
    <row r="17" spans="1:25" x14ac:dyDescent="0.35">
      <c r="A17" s="4" t="s">
        <v>90</v>
      </c>
      <c r="B17" s="4" t="s">
        <v>91</v>
      </c>
      <c r="C17" s="4" t="s">
        <v>81</v>
      </c>
      <c r="D17" s="4" t="s">
        <v>92</v>
      </c>
      <c r="E17" s="4" t="s">
        <v>69</v>
      </c>
      <c r="F17" s="4" t="s">
        <v>93</v>
      </c>
      <c r="G17" s="5">
        <v>157</v>
      </c>
      <c r="H17" s="5">
        <v>51</v>
      </c>
      <c r="I17" s="6">
        <f t="shared" si="0"/>
        <v>106</v>
      </c>
      <c r="J17" s="5">
        <v>182</v>
      </c>
      <c r="K17" s="5">
        <v>95</v>
      </c>
      <c r="L17" s="5">
        <v>11000</v>
      </c>
      <c r="M17" s="7">
        <f t="shared" si="1"/>
        <v>1.4272727272727272E-2</v>
      </c>
      <c r="N17" s="5">
        <v>106</v>
      </c>
      <c r="O17" s="5">
        <v>406</v>
      </c>
      <c r="P17" s="5">
        <v>2</v>
      </c>
      <c r="Q17" s="5">
        <v>12</v>
      </c>
      <c r="R17" s="8">
        <v>4.03</v>
      </c>
      <c r="S17" s="9">
        <f t="shared" si="2"/>
        <v>632.71</v>
      </c>
      <c r="T17" s="4" t="s">
        <v>84</v>
      </c>
      <c r="U17" s="10">
        <v>46246</v>
      </c>
      <c r="V17" s="10">
        <v>46258</v>
      </c>
      <c r="W17" s="4">
        <v>1</v>
      </c>
      <c r="X17" s="4">
        <v>5</v>
      </c>
      <c r="Y17" s="6" t="str">
        <f t="shared" si="3"/>
        <v>Reorder</v>
      </c>
    </row>
    <row r="18" spans="1:25" x14ac:dyDescent="0.35">
      <c r="A18" s="11" t="s">
        <v>94</v>
      </c>
      <c r="B18" s="11" t="s">
        <v>95</v>
      </c>
      <c r="C18" s="11" t="s">
        <v>81</v>
      </c>
      <c r="D18" s="11" t="s">
        <v>96</v>
      </c>
      <c r="E18" s="11" t="s">
        <v>97</v>
      </c>
      <c r="F18" s="11" t="s">
        <v>98</v>
      </c>
      <c r="G18" s="12">
        <v>295</v>
      </c>
      <c r="H18" s="12">
        <v>19</v>
      </c>
      <c r="I18" s="13">
        <f t="shared" si="0"/>
        <v>276</v>
      </c>
      <c r="J18" s="12">
        <v>177</v>
      </c>
      <c r="K18" s="12">
        <v>127</v>
      </c>
      <c r="L18" s="12">
        <v>11000</v>
      </c>
      <c r="M18" s="14">
        <f t="shared" si="1"/>
        <v>2.6818181818181817E-2</v>
      </c>
      <c r="N18" s="12">
        <v>289</v>
      </c>
      <c r="O18" s="12">
        <v>1262</v>
      </c>
      <c r="P18" s="12">
        <v>1</v>
      </c>
      <c r="Q18" s="12">
        <v>7</v>
      </c>
      <c r="R18" s="15">
        <v>0.72</v>
      </c>
      <c r="S18" s="16">
        <f t="shared" si="2"/>
        <v>212.4</v>
      </c>
      <c r="T18" s="11" t="s">
        <v>99</v>
      </c>
      <c r="U18" s="17">
        <v>46250</v>
      </c>
      <c r="V18" s="17">
        <v>46257</v>
      </c>
      <c r="W18" s="11">
        <v>2</v>
      </c>
      <c r="X18" s="11">
        <v>5</v>
      </c>
      <c r="Y18" s="13" t="str">
        <f t="shared" si="3"/>
        <v>Below Forecast</v>
      </c>
    </row>
    <row r="19" spans="1:25" x14ac:dyDescent="0.35">
      <c r="A19" s="4" t="s">
        <v>100</v>
      </c>
      <c r="B19" s="4" t="s">
        <v>101</v>
      </c>
      <c r="C19" s="4" t="s">
        <v>81</v>
      </c>
      <c r="D19" s="4" t="s">
        <v>102</v>
      </c>
      <c r="E19" s="4" t="s">
        <v>34</v>
      </c>
      <c r="F19" s="4" t="s">
        <v>103</v>
      </c>
      <c r="G19" s="5">
        <v>205</v>
      </c>
      <c r="H19" s="5">
        <v>2</v>
      </c>
      <c r="I19" s="6">
        <f t="shared" si="0"/>
        <v>203</v>
      </c>
      <c r="J19" s="5">
        <v>146</v>
      </c>
      <c r="K19" s="5">
        <v>77</v>
      </c>
      <c r="L19" s="5">
        <v>11000</v>
      </c>
      <c r="M19" s="7">
        <f t="shared" si="1"/>
        <v>1.8636363636363635E-2</v>
      </c>
      <c r="N19" s="5">
        <v>165</v>
      </c>
      <c r="O19" s="5">
        <v>733</v>
      </c>
      <c r="P19" s="5">
        <v>2</v>
      </c>
      <c r="Q19" s="5">
        <v>14</v>
      </c>
      <c r="R19" s="8">
        <v>4.08</v>
      </c>
      <c r="S19" s="9">
        <f t="shared" si="2"/>
        <v>836.4</v>
      </c>
      <c r="T19" s="4" t="s">
        <v>104</v>
      </c>
      <c r="U19" s="10">
        <v>46248</v>
      </c>
      <c r="V19" s="10">
        <v>46262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106</v>
      </c>
      <c r="C20" s="11" t="s">
        <v>81</v>
      </c>
      <c r="D20" s="11" t="s">
        <v>107</v>
      </c>
      <c r="E20" s="11" t="s">
        <v>69</v>
      </c>
      <c r="F20" s="11" t="s">
        <v>108</v>
      </c>
      <c r="G20" s="12">
        <v>382</v>
      </c>
      <c r="H20" s="12">
        <v>80</v>
      </c>
      <c r="I20" s="13">
        <f t="shared" si="0"/>
        <v>302</v>
      </c>
      <c r="J20" s="12">
        <v>215</v>
      </c>
      <c r="K20" s="12">
        <v>145</v>
      </c>
      <c r="L20" s="12">
        <v>11000</v>
      </c>
      <c r="M20" s="14">
        <f t="shared" si="1"/>
        <v>3.4727272727272725E-2</v>
      </c>
      <c r="N20" s="12">
        <v>188</v>
      </c>
      <c r="O20" s="12">
        <v>802</v>
      </c>
      <c r="P20" s="12">
        <v>2</v>
      </c>
      <c r="Q20" s="12">
        <v>14</v>
      </c>
      <c r="R20" s="15">
        <v>2.48</v>
      </c>
      <c r="S20" s="16">
        <f t="shared" si="2"/>
        <v>947.36</v>
      </c>
      <c r="T20" s="11" t="s">
        <v>104</v>
      </c>
      <c r="U20" s="17">
        <v>46246</v>
      </c>
      <c r="V20" s="17">
        <v>46260</v>
      </c>
      <c r="W20" s="11">
        <v>8</v>
      </c>
      <c r="X20" s="11">
        <v>12</v>
      </c>
      <c r="Y20" s="13" t="str">
        <f t="shared" si="3"/>
        <v>Healthy</v>
      </c>
    </row>
    <row r="21" spans="1:25" x14ac:dyDescent="0.35">
      <c r="A21" s="4" t="s">
        <v>109</v>
      </c>
      <c r="B21" s="4" t="s">
        <v>110</v>
      </c>
      <c r="C21" s="4" t="s">
        <v>81</v>
      </c>
      <c r="D21" s="4" t="s">
        <v>111</v>
      </c>
      <c r="E21" s="4" t="s">
        <v>112</v>
      </c>
      <c r="F21" s="4" t="s">
        <v>113</v>
      </c>
      <c r="G21" s="5">
        <v>344</v>
      </c>
      <c r="H21" s="5">
        <v>80</v>
      </c>
      <c r="I21" s="6">
        <f t="shared" si="0"/>
        <v>264</v>
      </c>
      <c r="J21" s="5">
        <v>170</v>
      </c>
      <c r="K21" s="5">
        <v>47</v>
      </c>
      <c r="L21" s="5">
        <v>11000</v>
      </c>
      <c r="M21" s="7">
        <f t="shared" si="1"/>
        <v>3.1272727272727271E-2</v>
      </c>
      <c r="N21" s="5">
        <v>127</v>
      </c>
      <c r="O21" s="5">
        <v>466</v>
      </c>
      <c r="P21" s="5">
        <v>3</v>
      </c>
      <c r="Q21" s="5">
        <v>18</v>
      </c>
      <c r="R21" s="8">
        <v>3.48</v>
      </c>
      <c r="S21" s="9">
        <f t="shared" si="2"/>
        <v>1197.1199999999999</v>
      </c>
      <c r="T21" s="4" t="s">
        <v>104</v>
      </c>
      <c r="U21" s="10">
        <v>46244</v>
      </c>
      <c r="V21" s="10">
        <v>46262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115</v>
      </c>
      <c r="C22" s="11" t="s">
        <v>81</v>
      </c>
      <c r="D22" s="11" t="s">
        <v>116</v>
      </c>
      <c r="E22" s="11" t="s">
        <v>34</v>
      </c>
      <c r="F22" s="11" t="s">
        <v>117</v>
      </c>
      <c r="G22" s="12">
        <v>580</v>
      </c>
      <c r="H22" s="12">
        <v>78</v>
      </c>
      <c r="I22" s="13">
        <f t="shared" si="0"/>
        <v>502</v>
      </c>
      <c r="J22" s="12">
        <v>214</v>
      </c>
      <c r="K22" s="12">
        <v>70</v>
      </c>
      <c r="L22" s="12">
        <v>11000</v>
      </c>
      <c r="M22" s="14">
        <f t="shared" si="1"/>
        <v>5.2727272727272727E-2</v>
      </c>
      <c r="N22" s="12">
        <v>180</v>
      </c>
      <c r="O22" s="12">
        <v>660</v>
      </c>
      <c r="P22" s="12">
        <v>2</v>
      </c>
      <c r="Q22" s="12">
        <v>60</v>
      </c>
      <c r="R22" s="15">
        <v>3.37</v>
      </c>
      <c r="S22" s="16">
        <f t="shared" si="2"/>
        <v>1954.6000000000001</v>
      </c>
      <c r="T22" s="11" t="s">
        <v>89</v>
      </c>
      <c r="U22" s="17">
        <v>46246</v>
      </c>
      <c r="V22" s="17">
        <v>46306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119</v>
      </c>
      <c r="C23" s="4" t="s">
        <v>81</v>
      </c>
      <c r="D23" s="4" t="s">
        <v>120</v>
      </c>
      <c r="E23" s="4" t="s">
        <v>34</v>
      </c>
      <c r="F23" s="4" t="s">
        <v>121</v>
      </c>
      <c r="G23" s="5">
        <v>506</v>
      </c>
      <c r="H23" s="5">
        <v>55</v>
      </c>
      <c r="I23" s="6">
        <f t="shared" si="0"/>
        <v>451</v>
      </c>
      <c r="J23" s="5">
        <v>207</v>
      </c>
      <c r="K23" s="5">
        <v>113</v>
      </c>
      <c r="L23" s="5">
        <v>11000</v>
      </c>
      <c r="M23" s="7">
        <f t="shared" si="1"/>
        <v>4.5999999999999999E-2</v>
      </c>
      <c r="N23" s="5">
        <v>152</v>
      </c>
      <c r="O23" s="5">
        <v>665</v>
      </c>
      <c r="P23" s="5">
        <v>2</v>
      </c>
      <c r="Q23" s="5">
        <v>12</v>
      </c>
      <c r="R23" s="8">
        <v>3.37</v>
      </c>
      <c r="S23" s="9">
        <f t="shared" si="2"/>
        <v>1705.22</v>
      </c>
      <c r="T23" s="4" t="s">
        <v>84</v>
      </c>
      <c r="U23" s="10">
        <v>46245</v>
      </c>
      <c r="V23" s="10">
        <v>46257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123</v>
      </c>
      <c r="C24" s="11" t="s">
        <v>32</v>
      </c>
      <c r="D24" s="11" t="s">
        <v>124</v>
      </c>
      <c r="E24" s="11" t="s">
        <v>69</v>
      </c>
      <c r="F24" s="11" t="s">
        <v>125</v>
      </c>
      <c r="G24" s="12">
        <v>212</v>
      </c>
      <c r="H24" s="12">
        <v>1</v>
      </c>
      <c r="I24" s="13">
        <f t="shared" si="0"/>
        <v>211</v>
      </c>
      <c r="J24" s="12">
        <v>190</v>
      </c>
      <c r="K24" s="12">
        <v>180</v>
      </c>
      <c r="L24" s="12">
        <v>11000</v>
      </c>
      <c r="M24" s="14">
        <f t="shared" si="1"/>
        <v>1.9272727272727271E-2</v>
      </c>
      <c r="N24" s="12">
        <v>70</v>
      </c>
      <c r="O24" s="12">
        <v>391</v>
      </c>
      <c r="P24" s="12">
        <v>5</v>
      </c>
      <c r="Q24" s="12">
        <v>10</v>
      </c>
      <c r="R24" s="15">
        <v>1.0900000000000001</v>
      </c>
      <c r="S24" s="16">
        <f t="shared" si="2"/>
        <v>231.08</v>
      </c>
      <c r="T24" s="11" t="s">
        <v>41</v>
      </c>
      <c r="U24" s="17">
        <v>46248</v>
      </c>
      <c r="V24" s="17">
        <v>46258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127</v>
      </c>
      <c r="C25" s="4" t="s">
        <v>81</v>
      </c>
      <c r="D25" s="4" t="s">
        <v>128</v>
      </c>
      <c r="E25" s="4" t="s">
        <v>69</v>
      </c>
      <c r="F25" s="4" t="s">
        <v>129</v>
      </c>
      <c r="G25" s="5">
        <v>349</v>
      </c>
      <c r="H25" s="5">
        <v>27</v>
      </c>
      <c r="I25" s="6">
        <f t="shared" si="0"/>
        <v>322</v>
      </c>
      <c r="J25" s="5">
        <v>220</v>
      </c>
      <c r="K25" s="5">
        <v>58</v>
      </c>
      <c r="L25" s="5">
        <v>11000</v>
      </c>
      <c r="M25" s="7">
        <f t="shared" si="1"/>
        <v>3.1727272727272729E-2</v>
      </c>
      <c r="N25" s="5">
        <v>233</v>
      </c>
      <c r="O25" s="5">
        <v>921</v>
      </c>
      <c r="P25" s="5">
        <v>2</v>
      </c>
      <c r="Q25" s="5">
        <v>12</v>
      </c>
      <c r="R25" s="8">
        <v>2.58</v>
      </c>
      <c r="S25" s="9">
        <f t="shared" si="2"/>
        <v>900.42000000000007</v>
      </c>
      <c r="T25" s="4" t="s">
        <v>84</v>
      </c>
      <c r="U25" s="10">
        <v>46248</v>
      </c>
      <c r="V25" s="10">
        <v>46260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131</v>
      </c>
      <c r="C26" s="11" t="s">
        <v>81</v>
      </c>
      <c r="D26" s="11" t="s">
        <v>132</v>
      </c>
      <c r="E26" s="11" t="s">
        <v>34</v>
      </c>
      <c r="F26" s="11" t="s">
        <v>133</v>
      </c>
      <c r="G26" s="12">
        <v>632</v>
      </c>
      <c r="H26" s="12">
        <v>41</v>
      </c>
      <c r="I26" s="13">
        <f t="shared" si="0"/>
        <v>591</v>
      </c>
      <c r="J26" s="12">
        <v>88</v>
      </c>
      <c r="K26" s="12">
        <v>43</v>
      </c>
      <c r="L26" s="12">
        <v>11000</v>
      </c>
      <c r="M26" s="14">
        <f t="shared" si="1"/>
        <v>5.7454545454545453E-2</v>
      </c>
      <c r="N26" s="12">
        <v>172</v>
      </c>
      <c r="O26" s="12">
        <v>787</v>
      </c>
      <c r="P26" s="12">
        <v>3</v>
      </c>
      <c r="Q26" s="12">
        <v>40</v>
      </c>
      <c r="R26" s="15">
        <v>4.7699999999999996</v>
      </c>
      <c r="S26" s="16">
        <f t="shared" si="2"/>
        <v>3014.64</v>
      </c>
      <c r="T26" s="11" t="s">
        <v>89</v>
      </c>
      <c r="U26" s="17">
        <v>46245</v>
      </c>
      <c r="V26" s="17">
        <v>46285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135</v>
      </c>
      <c r="C27" s="4" t="s">
        <v>32</v>
      </c>
      <c r="D27" s="4" t="s">
        <v>136</v>
      </c>
      <c r="E27" s="4" t="s">
        <v>112</v>
      </c>
      <c r="F27" s="4" t="s">
        <v>137</v>
      </c>
      <c r="G27" s="5">
        <v>513</v>
      </c>
      <c r="H27" s="5">
        <v>82</v>
      </c>
      <c r="I27" s="6">
        <f t="shared" si="0"/>
        <v>431</v>
      </c>
      <c r="J27" s="5">
        <v>85</v>
      </c>
      <c r="K27" s="5">
        <v>50</v>
      </c>
      <c r="L27" s="5">
        <v>11000</v>
      </c>
      <c r="M27" s="7">
        <f t="shared" si="1"/>
        <v>4.6636363636363636E-2</v>
      </c>
      <c r="N27" s="5">
        <v>297</v>
      </c>
      <c r="O27" s="5">
        <v>1181</v>
      </c>
      <c r="P27" s="5">
        <v>5</v>
      </c>
      <c r="Q27" s="5">
        <v>28</v>
      </c>
      <c r="R27" s="8">
        <v>2.23</v>
      </c>
      <c r="S27" s="9">
        <f t="shared" si="2"/>
        <v>1143.99</v>
      </c>
      <c r="T27" s="4" t="s">
        <v>65</v>
      </c>
      <c r="U27" s="10">
        <v>46249</v>
      </c>
      <c r="V27" s="10">
        <v>46277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139</v>
      </c>
      <c r="C28" s="11" t="s">
        <v>32</v>
      </c>
      <c r="D28" s="11" t="s">
        <v>140</v>
      </c>
      <c r="E28" s="11" t="s">
        <v>54</v>
      </c>
      <c r="F28" s="11" t="s">
        <v>141</v>
      </c>
      <c r="G28" s="12">
        <v>605</v>
      </c>
      <c r="H28" s="12">
        <v>49</v>
      </c>
      <c r="I28" s="13">
        <f t="shared" si="0"/>
        <v>556</v>
      </c>
      <c r="J28" s="12">
        <v>143</v>
      </c>
      <c r="K28" s="12">
        <v>76</v>
      </c>
      <c r="L28" s="12">
        <v>11000</v>
      </c>
      <c r="M28" s="14">
        <f t="shared" si="1"/>
        <v>5.5E-2</v>
      </c>
      <c r="N28" s="12">
        <v>94</v>
      </c>
      <c r="O28" s="12">
        <v>368</v>
      </c>
      <c r="P28" s="12">
        <v>1</v>
      </c>
      <c r="Q28" s="12">
        <v>6</v>
      </c>
      <c r="R28" s="15">
        <v>3.14</v>
      </c>
      <c r="S28" s="16">
        <f t="shared" si="2"/>
        <v>1899.7</v>
      </c>
      <c r="T28" s="11" t="s">
        <v>56</v>
      </c>
      <c r="U28" s="17">
        <v>46250</v>
      </c>
      <c r="V28" s="17">
        <v>46256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29" priority="2">
      <formula>Y5="Critical"</formula>
    </cfRule>
    <cfRule type="expression" dxfId="28" priority="3">
      <formula>Y5="Reorder"</formula>
    </cfRule>
    <cfRule type="expression" dxfId="27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143</v>
      </c>
      <c r="D3" s="1" t="s">
        <v>4</v>
      </c>
      <c r="E3" s="2">
        <v>24</v>
      </c>
      <c r="G3" s="1" t="s">
        <v>5</v>
      </c>
      <c r="H3" s="2">
        <v>12500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144</v>
      </c>
      <c r="C5" s="4" t="s">
        <v>32</v>
      </c>
      <c r="D5" s="4" t="s">
        <v>33</v>
      </c>
      <c r="E5" s="4" t="s">
        <v>34</v>
      </c>
      <c r="F5" s="4" t="s">
        <v>145</v>
      </c>
      <c r="G5" s="5">
        <v>547</v>
      </c>
      <c r="H5" s="5">
        <v>53</v>
      </c>
      <c r="I5" s="6">
        <f t="shared" ref="I5:I28" si="0">G5-H5</f>
        <v>494</v>
      </c>
      <c r="J5" s="5">
        <v>95</v>
      </c>
      <c r="K5" s="5">
        <v>82</v>
      </c>
      <c r="L5" s="5">
        <v>12500</v>
      </c>
      <c r="M5" s="7">
        <f t="shared" ref="M5:M28" si="1">G5/L5</f>
        <v>4.376E-2</v>
      </c>
      <c r="N5" s="5">
        <v>143</v>
      </c>
      <c r="O5" s="5">
        <v>609</v>
      </c>
      <c r="P5" s="5">
        <v>2</v>
      </c>
      <c r="Q5" s="5">
        <v>45</v>
      </c>
      <c r="R5" s="8">
        <v>3.94</v>
      </c>
      <c r="S5" s="9">
        <f t="shared" ref="S5:S28" si="2">G5*R5</f>
        <v>2155.1799999999998</v>
      </c>
      <c r="T5" s="4" t="s">
        <v>36</v>
      </c>
      <c r="U5" s="10">
        <v>46250</v>
      </c>
      <c r="V5" s="10">
        <v>46295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146</v>
      </c>
      <c r="C6" s="11" t="s">
        <v>32</v>
      </c>
      <c r="D6" s="11" t="s">
        <v>39</v>
      </c>
      <c r="E6" s="11" t="s">
        <v>34</v>
      </c>
      <c r="F6" s="11" t="s">
        <v>147</v>
      </c>
      <c r="G6" s="12">
        <v>372</v>
      </c>
      <c r="H6" s="12">
        <v>37</v>
      </c>
      <c r="I6" s="13">
        <f t="shared" si="0"/>
        <v>335</v>
      </c>
      <c r="J6" s="12">
        <v>113</v>
      </c>
      <c r="K6" s="12">
        <v>32</v>
      </c>
      <c r="L6" s="12">
        <v>12500</v>
      </c>
      <c r="M6" s="14">
        <f t="shared" si="1"/>
        <v>2.9760000000000002E-2</v>
      </c>
      <c r="N6" s="12">
        <v>265</v>
      </c>
      <c r="O6" s="12">
        <v>1157</v>
      </c>
      <c r="P6" s="12">
        <v>5</v>
      </c>
      <c r="Q6" s="12">
        <v>18</v>
      </c>
      <c r="R6" s="15">
        <v>3.59</v>
      </c>
      <c r="S6" s="16">
        <f t="shared" si="2"/>
        <v>1335.48</v>
      </c>
      <c r="T6" s="11" t="s">
        <v>41</v>
      </c>
      <c r="U6" s="17">
        <v>46250</v>
      </c>
      <c r="V6" s="17">
        <v>46268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148</v>
      </c>
      <c r="C7" s="4" t="s">
        <v>32</v>
      </c>
      <c r="D7" s="4" t="s">
        <v>44</v>
      </c>
      <c r="E7" s="4" t="s">
        <v>34</v>
      </c>
      <c r="F7" s="4" t="s">
        <v>149</v>
      </c>
      <c r="G7" s="5">
        <v>94</v>
      </c>
      <c r="H7" s="5">
        <v>8</v>
      </c>
      <c r="I7" s="6">
        <f t="shared" si="0"/>
        <v>86</v>
      </c>
      <c r="J7" s="5">
        <v>174</v>
      </c>
      <c r="K7" s="5">
        <v>118</v>
      </c>
      <c r="L7" s="5">
        <v>12500</v>
      </c>
      <c r="M7" s="7">
        <f t="shared" si="1"/>
        <v>7.5199999999999998E-3</v>
      </c>
      <c r="N7" s="5">
        <v>192</v>
      </c>
      <c r="O7" s="5">
        <v>805</v>
      </c>
      <c r="P7" s="5">
        <v>3</v>
      </c>
      <c r="Q7" s="5">
        <v>38</v>
      </c>
      <c r="R7" s="8">
        <v>4.05</v>
      </c>
      <c r="S7" s="9">
        <f t="shared" si="2"/>
        <v>380.7</v>
      </c>
      <c r="T7" s="4" t="s">
        <v>46</v>
      </c>
      <c r="U7" s="10">
        <v>46251</v>
      </c>
      <c r="V7" s="10">
        <v>46289</v>
      </c>
      <c r="W7" s="4">
        <v>4</v>
      </c>
      <c r="X7" s="4">
        <v>8</v>
      </c>
      <c r="Y7" s="6" t="str">
        <f t="shared" si="3"/>
        <v>Critical</v>
      </c>
    </row>
    <row r="8" spans="1:25" x14ac:dyDescent="0.35">
      <c r="A8" s="11" t="s">
        <v>47</v>
      </c>
      <c r="B8" s="11" t="s">
        <v>150</v>
      </c>
      <c r="C8" s="11" t="s">
        <v>32</v>
      </c>
      <c r="D8" s="11" t="s">
        <v>49</v>
      </c>
      <c r="E8" s="11" t="s">
        <v>34</v>
      </c>
      <c r="F8" s="11" t="s">
        <v>151</v>
      </c>
      <c r="G8" s="12">
        <v>105</v>
      </c>
      <c r="H8" s="12">
        <v>26</v>
      </c>
      <c r="I8" s="13">
        <f t="shared" si="0"/>
        <v>79</v>
      </c>
      <c r="J8" s="12">
        <v>215</v>
      </c>
      <c r="K8" s="12">
        <v>60</v>
      </c>
      <c r="L8" s="12">
        <v>12500</v>
      </c>
      <c r="M8" s="14">
        <f t="shared" si="1"/>
        <v>8.3999999999999995E-3</v>
      </c>
      <c r="N8" s="12">
        <v>263</v>
      </c>
      <c r="O8" s="12">
        <v>1160</v>
      </c>
      <c r="P8" s="12">
        <v>3</v>
      </c>
      <c r="Q8" s="12">
        <v>35</v>
      </c>
      <c r="R8" s="15">
        <v>4.66</v>
      </c>
      <c r="S8" s="16">
        <f t="shared" si="2"/>
        <v>489.3</v>
      </c>
      <c r="T8" s="11" t="s">
        <v>36</v>
      </c>
      <c r="U8" s="17">
        <v>46251</v>
      </c>
      <c r="V8" s="17">
        <v>46286</v>
      </c>
      <c r="W8" s="11">
        <v>1</v>
      </c>
      <c r="X8" s="11">
        <v>5</v>
      </c>
      <c r="Y8" s="13" t="str">
        <f t="shared" si="3"/>
        <v>Reorder</v>
      </c>
    </row>
    <row r="9" spans="1:25" x14ac:dyDescent="0.35">
      <c r="A9" s="4" t="s">
        <v>51</v>
      </c>
      <c r="B9" s="4" t="s">
        <v>152</v>
      </c>
      <c r="C9" s="4" t="s">
        <v>32</v>
      </c>
      <c r="D9" s="4" t="s">
        <v>53</v>
      </c>
      <c r="E9" s="4" t="s">
        <v>54</v>
      </c>
      <c r="F9" s="4" t="s">
        <v>153</v>
      </c>
      <c r="G9" s="5">
        <v>526</v>
      </c>
      <c r="H9" s="5">
        <v>14</v>
      </c>
      <c r="I9" s="6">
        <f t="shared" si="0"/>
        <v>512</v>
      </c>
      <c r="J9" s="5">
        <v>176</v>
      </c>
      <c r="K9" s="5">
        <v>108</v>
      </c>
      <c r="L9" s="5">
        <v>12500</v>
      </c>
      <c r="M9" s="7">
        <f t="shared" si="1"/>
        <v>4.2079999999999999E-2</v>
      </c>
      <c r="N9" s="5">
        <v>72</v>
      </c>
      <c r="O9" s="5">
        <v>338</v>
      </c>
      <c r="P9" s="5">
        <v>1</v>
      </c>
      <c r="Q9" s="5">
        <v>7</v>
      </c>
      <c r="R9" s="8">
        <v>1.54</v>
      </c>
      <c r="S9" s="9">
        <f t="shared" si="2"/>
        <v>810.04</v>
      </c>
      <c r="T9" s="4" t="s">
        <v>56</v>
      </c>
      <c r="U9" s="10">
        <v>46249</v>
      </c>
      <c r="V9" s="10">
        <v>46256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154</v>
      </c>
      <c r="C10" s="11" t="s">
        <v>32</v>
      </c>
      <c r="D10" s="11" t="s">
        <v>59</v>
      </c>
      <c r="E10" s="11" t="s">
        <v>54</v>
      </c>
      <c r="F10" s="11" t="s">
        <v>155</v>
      </c>
      <c r="G10" s="12">
        <v>511</v>
      </c>
      <c r="H10" s="12">
        <v>85</v>
      </c>
      <c r="I10" s="13">
        <f t="shared" si="0"/>
        <v>426</v>
      </c>
      <c r="J10" s="12">
        <v>96</v>
      </c>
      <c r="K10" s="12">
        <v>71</v>
      </c>
      <c r="L10" s="12">
        <v>12500</v>
      </c>
      <c r="M10" s="14">
        <f t="shared" si="1"/>
        <v>4.088E-2</v>
      </c>
      <c r="N10" s="12">
        <v>194</v>
      </c>
      <c r="O10" s="12">
        <v>850</v>
      </c>
      <c r="P10" s="12">
        <v>2</v>
      </c>
      <c r="Q10" s="12">
        <v>14</v>
      </c>
      <c r="R10" s="15">
        <v>4.24</v>
      </c>
      <c r="S10" s="16">
        <f t="shared" si="2"/>
        <v>2166.6400000000003</v>
      </c>
      <c r="T10" s="11" t="s">
        <v>56</v>
      </c>
      <c r="U10" s="17">
        <v>46250</v>
      </c>
      <c r="V10" s="17">
        <v>46264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156</v>
      </c>
      <c r="C11" s="4" t="s">
        <v>32</v>
      </c>
      <c r="D11" s="4" t="s">
        <v>63</v>
      </c>
      <c r="E11" s="4" t="s">
        <v>54</v>
      </c>
      <c r="F11" s="4" t="s">
        <v>157</v>
      </c>
      <c r="G11" s="5">
        <v>163</v>
      </c>
      <c r="H11" s="5">
        <v>42</v>
      </c>
      <c r="I11" s="6">
        <f t="shared" si="0"/>
        <v>121</v>
      </c>
      <c r="J11" s="5">
        <v>159</v>
      </c>
      <c r="K11" s="5">
        <v>137</v>
      </c>
      <c r="L11" s="5">
        <v>12500</v>
      </c>
      <c r="M11" s="7">
        <f t="shared" si="1"/>
        <v>1.304E-2</v>
      </c>
      <c r="N11" s="5">
        <v>184</v>
      </c>
      <c r="O11" s="5">
        <v>803</v>
      </c>
      <c r="P11" s="5">
        <v>3</v>
      </c>
      <c r="Q11" s="5">
        <v>21</v>
      </c>
      <c r="R11" s="8">
        <v>2.4</v>
      </c>
      <c r="S11" s="9">
        <f t="shared" si="2"/>
        <v>391.2</v>
      </c>
      <c r="T11" s="4" t="s">
        <v>65</v>
      </c>
      <c r="U11" s="10">
        <v>46243</v>
      </c>
      <c r="V11" s="10">
        <v>46264</v>
      </c>
      <c r="W11" s="4">
        <v>2</v>
      </c>
      <c r="X11" s="4">
        <v>7</v>
      </c>
      <c r="Y11" s="6" t="str">
        <f t="shared" si="3"/>
        <v>Critical</v>
      </c>
    </row>
    <row r="12" spans="1:25" x14ac:dyDescent="0.35">
      <c r="A12" s="11" t="s">
        <v>66</v>
      </c>
      <c r="B12" s="11" t="s">
        <v>158</v>
      </c>
      <c r="C12" s="11" t="s">
        <v>32</v>
      </c>
      <c r="D12" s="11" t="s">
        <v>68</v>
      </c>
      <c r="E12" s="11" t="s">
        <v>69</v>
      </c>
      <c r="F12" s="11" t="s">
        <v>159</v>
      </c>
      <c r="G12" s="12">
        <v>602</v>
      </c>
      <c r="H12" s="12">
        <v>9</v>
      </c>
      <c r="I12" s="13">
        <f t="shared" si="0"/>
        <v>593</v>
      </c>
      <c r="J12" s="12">
        <v>172</v>
      </c>
      <c r="K12" s="12">
        <v>159</v>
      </c>
      <c r="L12" s="12">
        <v>12500</v>
      </c>
      <c r="M12" s="14">
        <f t="shared" si="1"/>
        <v>4.8160000000000001E-2</v>
      </c>
      <c r="N12" s="12">
        <v>173</v>
      </c>
      <c r="O12" s="12">
        <v>713</v>
      </c>
      <c r="P12" s="12">
        <v>5</v>
      </c>
      <c r="Q12" s="12">
        <v>14</v>
      </c>
      <c r="R12" s="15">
        <v>1.37</v>
      </c>
      <c r="S12" s="16">
        <f t="shared" si="2"/>
        <v>824.74</v>
      </c>
      <c r="T12" s="11" t="s">
        <v>41</v>
      </c>
      <c r="U12" s="17">
        <v>46247</v>
      </c>
      <c r="V12" s="17">
        <v>46261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160</v>
      </c>
      <c r="C13" s="4" t="s">
        <v>32</v>
      </c>
      <c r="D13" s="4" t="s">
        <v>73</v>
      </c>
      <c r="E13" s="4" t="s">
        <v>69</v>
      </c>
      <c r="F13" s="4" t="s">
        <v>161</v>
      </c>
      <c r="G13" s="5">
        <v>258</v>
      </c>
      <c r="H13" s="5">
        <v>29</v>
      </c>
      <c r="I13" s="6">
        <f t="shared" si="0"/>
        <v>229</v>
      </c>
      <c r="J13" s="5">
        <v>199</v>
      </c>
      <c r="K13" s="5">
        <v>98</v>
      </c>
      <c r="L13" s="5">
        <v>12500</v>
      </c>
      <c r="M13" s="7">
        <f t="shared" si="1"/>
        <v>2.0639999999999999E-2</v>
      </c>
      <c r="N13" s="5">
        <v>97</v>
      </c>
      <c r="O13" s="5">
        <v>485</v>
      </c>
      <c r="P13" s="5">
        <v>6</v>
      </c>
      <c r="Q13" s="5">
        <v>18</v>
      </c>
      <c r="R13" s="8">
        <v>4.7</v>
      </c>
      <c r="S13" s="9">
        <f t="shared" si="2"/>
        <v>1212.6000000000001</v>
      </c>
      <c r="T13" s="4" t="s">
        <v>41</v>
      </c>
      <c r="U13" s="10">
        <v>46242</v>
      </c>
      <c r="V13" s="10">
        <v>46260</v>
      </c>
      <c r="W13" s="4">
        <v>8</v>
      </c>
      <c r="X13" s="4">
        <v>13</v>
      </c>
      <c r="Y13" s="6" t="str">
        <f t="shared" si="3"/>
        <v>Healthy</v>
      </c>
    </row>
    <row r="14" spans="1:25" x14ac:dyDescent="0.35">
      <c r="A14" s="11" t="s">
        <v>75</v>
      </c>
      <c r="B14" s="11" t="s">
        <v>162</v>
      </c>
      <c r="C14" s="11" t="s">
        <v>32</v>
      </c>
      <c r="D14" s="11" t="s">
        <v>77</v>
      </c>
      <c r="E14" s="11" t="s">
        <v>34</v>
      </c>
      <c r="F14" s="11" t="s">
        <v>163</v>
      </c>
      <c r="G14" s="12">
        <v>114</v>
      </c>
      <c r="H14" s="12">
        <v>18</v>
      </c>
      <c r="I14" s="13">
        <f t="shared" si="0"/>
        <v>96</v>
      </c>
      <c r="J14" s="12">
        <v>140</v>
      </c>
      <c r="K14" s="12">
        <v>109</v>
      </c>
      <c r="L14" s="12">
        <v>12500</v>
      </c>
      <c r="M14" s="14">
        <f t="shared" si="1"/>
        <v>9.1199999999999996E-3</v>
      </c>
      <c r="N14" s="12">
        <v>122</v>
      </c>
      <c r="O14" s="12">
        <v>584</v>
      </c>
      <c r="P14" s="12">
        <v>3</v>
      </c>
      <c r="Q14" s="12">
        <v>42</v>
      </c>
      <c r="R14" s="15">
        <v>2.11</v>
      </c>
      <c r="S14" s="16">
        <f t="shared" si="2"/>
        <v>240.54</v>
      </c>
      <c r="T14" s="11" t="s">
        <v>46</v>
      </c>
      <c r="U14" s="17">
        <v>46250</v>
      </c>
      <c r="V14" s="17">
        <v>46292</v>
      </c>
      <c r="W14" s="11">
        <v>5</v>
      </c>
      <c r="X14" s="11">
        <v>9</v>
      </c>
      <c r="Y14" s="13" t="str">
        <f t="shared" si="3"/>
        <v>Critical</v>
      </c>
    </row>
    <row r="15" spans="1:25" x14ac:dyDescent="0.35">
      <c r="A15" s="4" t="s">
        <v>79</v>
      </c>
      <c r="B15" s="4" t="s">
        <v>164</v>
      </c>
      <c r="C15" s="4" t="s">
        <v>81</v>
      </c>
      <c r="D15" s="4" t="s">
        <v>82</v>
      </c>
      <c r="E15" s="4" t="s">
        <v>34</v>
      </c>
      <c r="F15" s="4" t="s">
        <v>165</v>
      </c>
      <c r="G15" s="5">
        <v>475</v>
      </c>
      <c r="H15" s="5">
        <v>71</v>
      </c>
      <c r="I15" s="6">
        <f t="shared" si="0"/>
        <v>404</v>
      </c>
      <c r="J15" s="5">
        <v>86</v>
      </c>
      <c r="K15" s="5">
        <v>52</v>
      </c>
      <c r="L15" s="5">
        <v>12500</v>
      </c>
      <c r="M15" s="7">
        <f t="shared" si="1"/>
        <v>3.7999999999999999E-2</v>
      </c>
      <c r="N15" s="5">
        <v>148</v>
      </c>
      <c r="O15" s="5">
        <v>546</v>
      </c>
      <c r="P15" s="5">
        <v>2</v>
      </c>
      <c r="Q15" s="5">
        <v>75</v>
      </c>
      <c r="R15" s="8">
        <v>4.09</v>
      </c>
      <c r="S15" s="9">
        <f t="shared" si="2"/>
        <v>1942.75</v>
      </c>
      <c r="T15" s="4" t="s">
        <v>84</v>
      </c>
      <c r="U15" s="10">
        <v>46250</v>
      </c>
      <c r="V15" s="10">
        <v>46325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166</v>
      </c>
      <c r="C16" s="11" t="s">
        <v>81</v>
      </c>
      <c r="D16" s="11" t="s">
        <v>87</v>
      </c>
      <c r="E16" s="11" t="s">
        <v>34</v>
      </c>
      <c r="F16" s="11" t="s">
        <v>167</v>
      </c>
      <c r="G16" s="12">
        <v>481</v>
      </c>
      <c r="H16" s="12">
        <v>47</v>
      </c>
      <c r="I16" s="13">
        <f t="shared" si="0"/>
        <v>434</v>
      </c>
      <c r="J16" s="12">
        <v>204</v>
      </c>
      <c r="K16" s="12">
        <v>43</v>
      </c>
      <c r="L16" s="12">
        <v>12500</v>
      </c>
      <c r="M16" s="14">
        <f t="shared" si="1"/>
        <v>3.848E-2</v>
      </c>
      <c r="N16" s="12">
        <v>127</v>
      </c>
      <c r="O16" s="12">
        <v>479</v>
      </c>
      <c r="P16" s="12">
        <v>2</v>
      </c>
      <c r="Q16" s="12">
        <v>35</v>
      </c>
      <c r="R16" s="15">
        <v>1.76</v>
      </c>
      <c r="S16" s="16">
        <f t="shared" si="2"/>
        <v>846.56000000000006</v>
      </c>
      <c r="T16" s="11" t="s">
        <v>89</v>
      </c>
      <c r="U16" s="17">
        <v>46249</v>
      </c>
      <c r="V16" s="17">
        <v>46284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168</v>
      </c>
      <c r="C17" s="4" t="s">
        <v>81</v>
      </c>
      <c r="D17" s="4" t="s">
        <v>92</v>
      </c>
      <c r="E17" s="4" t="s">
        <v>69</v>
      </c>
      <c r="F17" s="4" t="s">
        <v>169</v>
      </c>
      <c r="G17" s="5">
        <v>136</v>
      </c>
      <c r="H17" s="5">
        <v>28</v>
      </c>
      <c r="I17" s="6">
        <f t="shared" si="0"/>
        <v>108</v>
      </c>
      <c r="J17" s="5">
        <v>145</v>
      </c>
      <c r="K17" s="5">
        <v>93</v>
      </c>
      <c r="L17" s="5">
        <v>12500</v>
      </c>
      <c r="M17" s="7">
        <f t="shared" si="1"/>
        <v>1.0880000000000001E-2</v>
      </c>
      <c r="N17" s="5">
        <v>154</v>
      </c>
      <c r="O17" s="5">
        <v>673</v>
      </c>
      <c r="P17" s="5">
        <v>2</v>
      </c>
      <c r="Q17" s="5">
        <v>12</v>
      </c>
      <c r="R17" s="8">
        <v>1.89</v>
      </c>
      <c r="S17" s="9">
        <f t="shared" si="2"/>
        <v>257.03999999999996</v>
      </c>
      <c r="T17" s="4" t="s">
        <v>84</v>
      </c>
      <c r="U17" s="10">
        <v>46250</v>
      </c>
      <c r="V17" s="10">
        <v>46262</v>
      </c>
      <c r="W17" s="4">
        <v>1</v>
      </c>
      <c r="X17" s="4">
        <v>5</v>
      </c>
      <c r="Y17" s="6" t="str">
        <f t="shared" si="3"/>
        <v>Reorder</v>
      </c>
    </row>
    <row r="18" spans="1:25" x14ac:dyDescent="0.35">
      <c r="A18" s="11" t="s">
        <v>94</v>
      </c>
      <c r="B18" s="11" t="s">
        <v>170</v>
      </c>
      <c r="C18" s="11" t="s">
        <v>81</v>
      </c>
      <c r="D18" s="11" t="s">
        <v>96</v>
      </c>
      <c r="E18" s="11" t="s">
        <v>97</v>
      </c>
      <c r="F18" s="11" t="s">
        <v>171</v>
      </c>
      <c r="G18" s="12">
        <v>307</v>
      </c>
      <c r="H18" s="12">
        <v>73</v>
      </c>
      <c r="I18" s="13">
        <f t="shared" si="0"/>
        <v>234</v>
      </c>
      <c r="J18" s="12">
        <v>217</v>
      </c>
      <c r="K18" s="12">
        <v>166</v>
      </c>
      <c r="L18" s="12">
        <v>12500</v>
      </c>
      <c r="M18" s="14">
        <f t="shared" si="1"/>
        <v>2.4559999999999998E-2</v>
      </c>
      <c r="N18" s="12">
        <v>175</v>
      </c>
      <c r="O18" s="12">
        <v>709</v>
      </c>
      <c r="P18" s="12">
        <v>1</v>
      </c>
      <c r="Q18" s="12">
        <v>7</v>
      </c>
      <c r="R18" s="15">
        <v>1.33</v>
      </c>
      <c r="S18" s="16">
        <f t="shared" si="2"/>
        <v>408.31</v>
      </c>
      <c r="T18" s="11" t="s">
        <v>99</v>
      </c>
      <c r="U18" s="17">
        <v>46248</v>
      </c>
      <c r="V18" s="17">
        <v>46255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172</v>
      </c>
      <c r="C19" s="4" t="s">
        <v>81</v>
      </c>
      <c r="D19" s="4" t="s">
        <v>102</v>
      </c>
      <c r="E19" s="4" t="s">
        <v>34</v>
      </c>
      <c r="F19" s="4" t="s">
        <v>173</v>
      </c>
      <c r="G19" s="5">
        <v>105</v>
      </c>
      <c r="H19" s="5">
        <v>26</v>
      </c>
      <c r="I19" s="6">
        <f t="shared" si="0"/>
        <v>79</v>
      </c>
      <c r="J19" s="5">
        <v>211</v>
      </c>
      <c r="K19" s="5">
        <v>50</v>
      </c>
      <c r="L19" s="5">
        <v>12500</v>
      </c>
      <c r="M19" s="7">
        <f t="shared" si="1"/>
        <v>8.3999999999999995E-3</v>
      </c>
      <c r="N19" s="5">
        <v>216</v>
      </c>
      <c r="O19" s="5">
        <v>931</v>
      </c>
      <c r="P19" s="5">
        <v>2</v>
      </c>
      <c r="Q19" s="5">
        <v>14</v>
      </c>
      <c r="R19" s="8">
        <v>4.1500000000000004</v>
      </c>
      <c r="S19" s="9">
        <f t="shared" si="2"/>
        <v>435.75000000000006</v>
      </c>
      <c r="T19" s="4" t="s">
        <v>104</v>
      </c>
      <c r="U19" s="10">
        <v>46248</v>
      </c>
      <c r="V19" s="10">
        <v>46262</v>
      </c>
      <c r="W19" s="4">
        <v>8</v>
      </c>
      <c r="X19" s="4">
        <v>12</v>
      </c>
      <c r="Y19" s="6" t="str">
        <f t="shared" si="3"/>
        <v>Reorder</v>
      </c>
    </row>
    <row r="20" spans="1:25" x14ac:dyDescent="0.35">
      <c r="A20" s="11" t="s">
        <v>105</v>
      </c>
      <c r="B20" s="11" t="s">
        <v>174</v>
      </c>
      <c r="C20" s="11" t="s">
        <v>81</v>
      </c>
      <c r="D20" s="11" t="s">
        <v>107</v>
      </c>
      <c r="E20" s="11" t="s">
        <v>69</v>
      </c>
      <c r="F20" s="11" t="s">
        <v>175</v>
      </c>
      <c r="G20" s="12">
        <v>201</v>
      </c>
      <c r="H20" s="12">
        <v>32</v>
      </c>
      <c r="I20" s="13">
        <f t="shared" si="0"/>
        <v>169</v>
      </c>
      <c r="J20" s="12">
        <v>213</v>
      </c>
      <c r="K20" s="12">
        <v>136</v>
      </c>
      <c r="L20" s="12">
        <v>12500</v>
      </c>
      <c r="M20" s="14">
        <f t="shared" si="1"/>
        <v>1.6080000000000001E-2</v>
      </c>
      <c r="N20" s="12">
        <v>118</v>
      </c>
      <c r="O20" s="12">
        <v>449</v>
      </c>
      <c r="P20" s="12">
        <v>2</v>
      </c>
      <c r="Q20" s="12">
        <v>14</v>
      </c>
      <c r="R20" s="15">
        <v>4.18</v>
      </c>
      <c r="S20" s="16">
        <f t="shared" si="2"/>
        <v>840.18</v>
      </c>
      <c r="T20" s="11" t="s">
        <v>104</v>
      </c>
      <c r="U20" s="17">
        <v>46249</v>
      </c>
      <c r="V20" s="17">
        <v>46263</v>
      </c>
      <c r="W20" s="11">
        <v>8</v>
      </c>
      <c r="X20" s="11">
        <v>12</v>
      </c>
      <c r="Y20" s="13" t="str">
        <f t="shared" si="3"/>
        <v>Reorder</v>
      </c>
    </row>
    <row r="21" spans="1:25" x14ac:dyDescent="0.35">
      <c r="A21" s="4" t="s">
        <v>109</v>
      </c>
      <c r="B21" s="4" t="s">
        <v>176</v>
      </c>
      <c r="C21" s="4" t="s">
        <v>81</v>
      </c>
      <c r="D21" s="4" t="s">
        <v>111</v>
      </c>
      <c r="E21" s="4" t="s">
        <v>112</v>
      </c>
      <c r="F21" s="4" t="s">
        <v>177</v>
      </c>
      <c r="G21" s="5">
        <v>621</v>
      </c>
      <c r="H21" s="5">
        <v>35</v>
      </c>
      <c r="I21" s="6">
        <f t="shared" si="0"/>
        <v>586</v>
      </c>
      <c r="J21" s="5">
        <v>124</v>
      </c>
      <c r="K21" s="5">
        <v>88</v>
      </c>
      <c r="L21" s="5">
        <v>12500</v>
      </c>
      <c r="M21" s="7">
        <f t="shared" si="1"/>
        <v>4.9680000000000002E-2</v>
      </c>
      <c r="N21" s="5">
        <v>223</v>
      </c>
      <c r="O21" s="5">
        <v>912</v>
      </c>
      <c r="P21" s="5">
        <v>3</v>
      </c>
      <c r="Q21" s="5">
        <v>18</v>
      </c>
      <c r="R21" s="8">
        <v>4.3099999999999996</v>
      </c>
      <c r="S21" s="9">
        <f t="shared" si="2"/>
        <v>2676.5099999999998</v>
      </c>
      <c r="T21" s="4" t="s">
        <v>104</v>
      </c>
      <c r="U21" s="10">
        <v>46243</v>
      </c>
      <c r="V21" s="10">
        <v>46261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178</v>
      </c>
      <c r="C22" s="11" t="s">
        <v>81</v>
      </c>
      <c r="D22" s="11" t="s">
        <v>116</v>
      </c>
      <c r="E22" s="11" t="s">
        <v>34</v>
      </c>
      <c r="F22" s="11" t="s">
        <v>179</v>
      </c>
      <c r="G22" s="12">
        <v>355</v>
      </c>
      <c r="H22" s="12">
        <v>54</v>
      </c>
      <c r="I22" s="13">
        <f t="shared" si="0"/>
        <v>301</v>
      </c>
      <c r="J22" s="12">
        <v>89</v>
      </c>
      <c r="K22" s="12">
        <v>74</v>
      </c>
      <c r="L22" s="12">
        <v>12500</v>
      </c>
      <c r="M22" s="14">
        <f t="shared" si="1"/>
        <v>2.8400000000000002E-2</v>
      </c>
      <c r="N22" s="12">
        <v>157</v>
      </c>
      <c r="O22" s="12">
        <v>606</v>
      </c>
      <c r="P22" s="12">
        <v>2</v>
      </c>
      <c r="Q22" s="12">
        <v>60</v>
      </c>
      <c r="R22" s="15">
        <v>3.26</v>
      </c>
      <c r="S22" s="16">
        <f t="shared" si="2"/>
        <v>1157.3</v>
      </c>
      <c r="T22" s="11" t="s">
        <v>89</v>
      </c>
      <c r="U22" s="17">
        <v>46247</v>
      </c>
      <c r="V22" s="17">
        <v>46307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180</v>
      </c>
      <c r="C23" s="4" t="s">
        <v>81</v>
      </c>
      <c r="D23" s="4" t="s">
        <v>120</v>
      </c>
      <c r="E23" s="4" t="s">
        <v>34</v>
      </c>
      <c r="F23" s="4" t="s">
        <v>181</v>
      </c>
      <c r="G23" s="5">
        <v>286</v>
      </c>
      <c r="H23" s="5">
        <v>55</v>
      </c>
      <c r="I23" s="6">
        <f t="shared" si="0"/>
        <v>231</v>
      </c>
      <c r="J23" s="5">
        <v>180</v>
      </c>
      <c r="K23" s="5">
        <v>59</v>
      </c>
      <c r="L23" s="5">
        <v>12500</v>
      </c>
      <c r="M23" s="7">
        <f t="shared" si="1"/>
        <v>2.2880000000000001E-2</v>
      </c>
      <c r="N23" s="5">
        <v>118</v>
      </c>
      <c r="O23" s="5">
        <v>451</v>
      </c>
      <c r="P23" s="5">
        <v>2</v>
      </c>
      <c r="Q23" s="5">
        <v>12</v>
      </c>
      <c r="R23" s="8">
        <v>1.97</v>
      </c>
      <c r="S23" s="9">
        <f t="shared" si="2"/>
        <v>563.41999999999996</v>
      </c>
      <c r="T23" s="4" t="s">
        <v>84</v>
      </c>
      <c r="U23" s="10">
        <v>46251</v>
      </c>
      <c r="V23" s="10">
        <v>46263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182</v>
      </c>
      <c r="C24" s="11" t="s">
        <v>32</v>
      </c>
      <c r="D24" s="11" t="s">
        <v>124</v>
      </c>
      <c r="E24" s="11" t="s">
        <v>69</v>
      </c>
      <c r="F24" s="11" t="s">
        <v>183</v>
      </c>
      <c r="G24" s="12">
        <v>332</v>
      </c>
      <c r="H24" s="12">
        <v>35</v>
      </c>
      <c r="I24" s="13">
        <f t="shared" si="0"/>
        <v>297</v>
      </c>
      <c r="J24" s="12">
        <v>198</v>
      </c>
      <c r="K24" s="12">
        <v>44</v>
      </c>
      <c r="L24" s="12">
        <v>12500</v>
      </c>
      <c r="M24" s="14">
        <f t="shared" si="1"/>
        <v>2.656E-2</v>
      </c>
      <c r="N24" s="12">
        <v>218</v>
      </c>
      <c r="O24" s="12">
        <v>967</v>
      </c>
      <c r="P24" s="12">
        <v>5</v>
      </c>
      <c r="Q24" s="12">
        <v>10</v>
      </c>
      <c r="R24" s="15">
        <v>2.98</v>
      </c>
      <c r="S24" s="16">
        <f t="shared" si="2"/>
        <v>989.36</v>
      </c>
      <c r="T24" s="11" t="s">
        <v>41</v>
      </c>
      <c r="U24" s="17">
        <v>46250</v>
      </c>
      <c r="V24" s="17">
        <v>46260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184</v>
      </c>
      <c r="C25" s="4" t="s">
        <v>81</v>
      </c>
      <c r="D25" s="4" t="s">
        <v>128</v>
      </c>
      <c r="E25" s="4" t="s">
        <v>69</v>
      </c>
      <c r="F25" s="4" t="s">
        <v>185</v>
      </c>
      <c r="G25" s="5">
        <v>452</v>
      </c>
      <c r="H25" s="5">
        <v>7</v>
      </c>
      <c r="I25" s="6">
        <f t="shared" si="0"/>
        <v>445</v>
      </c>
      <c r="J25" s="5">
        <v>196</v>
      </c>
      <c r="K25" s="5">
        <v>181</v>
      </c>
      <c r="L25" s="5">
        <v>12500</v>
      </c>
      <c r="M25" s="7">
        <f t="shared" si="1"/>
        <v>3.6159999999999998E-2</v>
      </c>
      <c r="N25" s="5">
        <v>122</v>
      </c>
      <c r="O25" s="5">
        <v>528</v>
      </c>
      <c r="P25" s="5">
        <v>2</v>
      </c>
      <c r="Q25" s="5">
        <v>12</v>
      </c>
      <c r="R25" s="8">
        <v>0.87</v>
      </c>
      <c r="S25" s="9">
        <f t="shared" si="2"/>
        <v>393.24</v>
      </c>
      <c r="T25" s="4" t="s">
        <v>84</v>
      </c>
      <c r="U25" s="10">
        <v>46248</v>
      </c>
      <c r="V25" s="10">
        <v>46260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186</v>
      </c>
      <c r="C26" s="11" t="s">
        <v>81</v>
      </c>
      <c r="D26" s="11" t="s">
        <v>132</v>
      </c>
      <c r="E26" s="11" t="s">
        <v>34</v>
      </c>
      <c r="F26" s="11" t="s">
        <v>187</v>
      </c>
      <c r="G26" s="12">
        <v>197</v>
      </c>
      <c r="H26" s="12">
        <v>9</v>
      </c>
      <c r="I26" s="13">
        <f t="shared" si="0"/>
        <v>188</v>
      </c>
      <c r="J26" s="12">
        <v>200</v>
      </c>
      <c r="K26" s="12">
        <v>65</v>
      </c>
      <c r="L26" s="12">
        <v>12500</v>
      </c>
      <c r="M26" s="14">
        <f t="shared" si="1"/>
        <v>1.576E-2</v>
      </c>
      <c r="N26" s="12">
        <v>138</v>
      </c>
      <c r="O26" s="12">
        <v>559</v>
      </c>
      <c r="P26" s="12">
        <v>3</v>
      </c>
      <c r="Q26" s="12">
        <v>40</v>
      </c>
      <c r="R26" s="15">
        <v>3.81</v>
      </c>
      <c r="S26" s="16">
        <f t="shared" si="2"/>
        <v>750.57</v>
      </c>
      <c r="T26" s="11" t="s">
        <v>89</v>
      </c>
      <c r="U26" s="17">
        <v>46249</v>
      </c>
      <c r="V26" s="17">
        <v>46289</v>
      </c>
      <c r="W26" s="11">
        <v>8</v>
      </c>
      <c r="X26" s="11">
        <v>13</v>
      </c>
      <c r="Y26" s="13" t="str">
        <f t="shared" si="3"/>
        <v>Reorder</v>
      </c>
    </row>
    <row r="27" spans="1:25" x14ac:dyDescent="0.35">
      <c r="A27" s="4" t="s">
        <v>134</v>
      </c>
      <c r="B27" s="4" t="s">
        <v>188</v>
      </c>
      <c r="C27" s="4" t="s">
        <v>32</v>
      </c>
      <c r="D27" s="4" t="s">
        <v>136</v>
      </c>
      <c r="E27" s="4" t="s">
        <v>112</v>
      </c>
      <c r="F27" s="4" t="s">
        <v>189</v>
      </c>
      <c r="G27" s="5">
        <v>244</v>
      </c>
      <c r="H27" s="5">
        <v>17</v>
      </c>
      <c r="I27" s="6">
        <f t="shared" si="0"/>
        <v>227</v>
      </c>
      <c r="J27" s="5">
        <v>105</v>
      </c>
      <c r="K27" s="5">
        <v>74</v>
      </c>
      <c r="L27" s="5">
        <v>12500</v>
      </c>
      <c r="M27" s="7">
        <f t="shared" si="1"/>
        <v>1.9519999999999999E-2</v>
      </c>
      <c r="N27" s="5">
        <v>167</v>
      </c>
      <c r="O27" s="5">
        <v>620</v>
      </c>
      <c r="P27" s="5">
        <v>5</v>
      </c>
      <c r="Q27" s="5">
        <v>28</v>
      </c>
      <c r="R27" s="8">
        <v>2.99</v>
      </c>
      <c r="S27" s="9">
        <f t="shared" si="2"/>
        <v>729.56000000000006</v>
      </c>
      <c r="T27" s="4" t="s">
        <v>65</v>
      </c>
      <c r="U27" s="10">
        <v>46247</v>
      </c>
      <c r="V27" s="10">
        <v>46275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190</v>
      </c>
      <c r="C28" s="11" t="s">
        <v>32</v>
      </c>
      <c r="D28" s="11" t="s">
        <v>140</v>
      </c>
      <c r="E28" s="11" t="s">
        <v>54</v>
      </c>
      <c r="F28" s="11" t="s">
        <v>191</v>
      </c>
      <c r="G28" s="12">
        <v>355</v>
      </c>
      <c r="H28" s="12">
        <v>11</v>
      </c>
      <c r="I28" s="13">
        <f t="shared" si="0"/>
        <v>344</v>
      </c>
      <c r="J28" s="12">
        <v>120</v>
      </c>
      <c r="K28" s="12">
        <v>57</v>
      </c>
      <c r="L28" s="12">
        <v>12500</v>
      </c>
      <c r="M28" s="14">
        <f t="shared" si="1"/>
        <v>2.8400000000000002E-2</v>
      </c>
      <c r="N28" s="12">
        <v>217</v>
      </c>
      <c r="O28" s="12">
        <v>967</v>
      </c>
      <c r="P28" s="12">
        <v>1</v>
      </c>
      <c r="Q28" s="12">
        <v>6</v>
      </c>
      <c r="R28" s="15">
        <v>1.64</v>
      </c>
      <c r="S28" s="16">
        <f t="shared" si="2"/>
        <v>582.19999999999993</v>
      </c>
      <c r="T28" s="11" t="s">
        <v>56</v>
      </c>
      <c r="U28" s="17">
        <v>46251</v>
      </c>
      <c r="V28" s="17">
        <v>46257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26" priority="2">
      <formula>Y5="Critical"</formula>
    </cfRule>
    <cfRule type="expression" dxfId="25" priority="3">
      <formula>Y5="Reorder"</formula>
    </cfRule>
    <cfRule type="expression" dxfId="24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192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193</v>
      </c>
      <c r="D3" s="1" t="s">
        <v>4</v>
      </c>
      <c r="E3" s="2">
        <v>24</v>
      </c>
      <c r="G3" s="1" t="s">
        <v>5</v>
      </c>
      <c r="H3" s="2">
        <v>12500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194</v>
      </c>
      <c r="C5" s="4" t="s">
        <v>32</v>
      </c>
      <c r="D5" s="4" t="s">
        <v>33</v>
      </c>
      <c r="E5" s="4" t="s">
        <v>34</v>
      </c>
      <c r="F5" s="4" t="s">
        <v>195</v>
      </c>
      <c r="G5" s="5">
        <v>498</v>
      </c>
      <c r="H5" s="5">
        <v>81</v>
      </c>
      <c r="I5" s="6">
        <f t="shared" ref="I5:I28" si="0">G5-H5</f>
        <v>417</v>
      </c>
      <c r="J5" s="5">
        <v>163</v>
      </c>
      <c r="K5" s="5">
        <v>48</v>
      </c>
      <c r="L5" s="5">
        <v>12500</v>
      </c>
      <c r="M5" s="7">
        <f t="shared" ref="M5:M28" si="1">G5/L5</f>
        <v>3.984E-2</v>
      </c>
      <c r="N5" s="5">
        <v>264</v>
      </c>
      <c r="O5" s="5">
        <v>1060</v>
      </c>
      <c r="P5" s="5">
        <v>2</v>
      </c>
      <c r="Q5" s="5">
        <v>45</v>
      </c>
      <c r="R5" s="8">
        <v>2.39</v>
      </c>
      <c r="S5" s="9">
        <f t="shared" ref="S5:S28" si="2">G5*R5</f>
        <v>1190.22</v>
      </c>
      <c r="T5" s="4" t="s">
        <v>36</v>
      </c>
      <c r="U5" s="10">
        <v>46250</v>
      </c>
      <c r="V5" s="10">
        <v>46295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196</v>
      </c>
      <c r="C6" s="11" t="s">
        <v>32</v>
      </c>
      <c r="D6" s="11" t="s">
        <v>39</v>
      </c>
      <c r="E6" s="11" t="s">
        <v>34</v>
      </c>
      <c r="F6" s="11" t="s">
        <v>197</v>
      </c>
      <c r="G6" s="12">
        <v>355</v>
      </c>
      <c r="H6" s="12">
        <v>62</v>
      </c>
      <c r="I6" s="13">
        <f t="shared" si="0"/>
        <v>293</v>
      </c>
      <c r="J6" s="12">
        <v>177</v>
      </c>
      <c r="K6" s="12">
        <v>94</v>
      </c>
      <c r="L6" s="12">
        <v>12500</v>
      </c>
      <c r="M6" s="14">
        <f t="shared" si="1"/>
        <v>2.8400000000000002E-2</v>
      </c>
      <c r="N6" s="12">
        <v>284</v>
      </c>
      <c r="O6" s="12">
        <v>1101</v>
      </c>
      <c r="P6" s="12">
        <v>5</v>
      </c>
      <c r="Q6" s="12">
        <v>18</v>
      </c>
      <c r="R6" s="15">
        <v>0.63</v>
      </c>
      <c r="S6" s="16">
        <f t="shared" si="2"/>
        <v>223.65</v>
      </c>
      <c r="T6" s="11" t="s">
        <v>41</v>
      </c>
      <c r="U6" s="17">
        <v>46246</v>
      </c>
      <c r="V6" s="17">
        <v>46264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198</v>
      </c>
      <c r="C7" s="4" t="s">
        <v>32</v>
      </c>
      <c r="D7" s="4" t="s">
        <v>44</v>
      </c>
      <c r="E7" s="4" t="s">
        <v>34</v>
      </c>
      <c r="F7" s="4" t="s">
        <v>199</v>
      </c>
      <c r="G7" s="5">
        <v>149</v>
      </c>
      <c r="H7" s="5">
        <v>33</v>
      </c>
      <c r="I7" s="6">
        <f t="shared" si="0"/>
        <v>116</v>
      </c>
      <c r="J7" s="5">
        <v>116</v>
      </c>
      <c r="K7" s="5">
        <v>72</v>
      </c>
      <c r="L7" s="5">
        <v>12500</v>
      </c>
      <c r="M7" s="7">
        <f t="shared" si="1"/>
        <v>1.192E-2</v>
      </c>
      <c r="N7" s="5">
        <v>148</v>
      </c>
      <c r="O7" s="5">
        <v>527</v>
      </c>
      <c r="P7" s="5">
        <v>3</v>
      </c>
      <c r="Q7" s="5">
        <v>38</v>
      </c>
      <c r="R7" s="8">
        <v>3.69</v>
      </c>
      <c r="S7" s="9">
        <f t="shared" si="2"/>
        <v>549.80999999999995</v>
      </c>
      <c r="T7" s="4" t="s">
        <v>46</v>
      </c>
      <c r="U7" s="10">
        <v>46244</v>
      </c>
      <c r="V7" s="10">
        <v>46282</v>
      </c>
      <c r="W7" s="4">
        <v>4</v>
      </c>
      <c r="X7" s="4">
        <v>8</v>
      </c>
      <c r="Y7" s="6" t="str">
        <f t="shared" si="3"/>
        <v>Reorder</v>
      </c>
    </row>
    <row r="8" spans="1:25" x14ac:dyDescent="0.35">
      <c r="A8" s="11" t="s">
        <v>47</v>
      </c>
      <c r="B8" s="11" t="s">
        <v>200</v>
      </c>
      <c r="C8" s="11" t="s">
        <v>32</v>
      </c>
      <c r="D8" s="11" t="s">
        <v>49</v>
      </c>
      <c r="E8" s="11" t="s">
        <v>34</v>
      </c>
      <c r="F8" s="11" t="s">
        <v>201</v>
      </c>
      <c r="G8" s="12">
        <v>261</v>
      </c>
      <c r="H8" s="12">
        <v>61</v>
      </c>
      <c r="I8" s="13">
        <f t="shared" si="0"/>
        <v>200</v>
      </c>
      <c r="J8" s="12">
        <v>149</v>
      </c>
      <c r="K8" s="12">
        <v>34</v>
      </c>
      <c r="L8" s="12">
        <v>12500</v>
      </c>
      <c r="M8" s="14">
        <f t="shared" si="1"/>
        <v>2.0879999999999999E-2</v>
      </c>
      <c r="N8" s="12">
        <v>180</v>
      </c>
      <c r="O8" s="12">
        <v>724</v>
      </c>
      <c r="P8" s="12">
        <v>3</v>
      </c>
      <c r="Q8" s="12">
        <v>35</v>
      </c>
      <c r="R8" s="15">
        <v>4.71</v>
      </c>
      <c r="S8" s="16">
        <f t="shared" si="2"/>
        <v>1229.31</v>
      </c>
      <c r="T8" s="11" t="s">
        <v>36</v>
      </c>
      <c r="U8" s="17">
        <v>46246</v>
      </c>
      <c r="V8" s="17">
        <v>46281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202</v>
      </c>
      <c r="C9" s="4" t="s">
        <v>32</v>
      </c>
      <c r="D9" s="4" t="s">
        <v>53</v>
      </c>
      <c r="E9" s="4" t="s">
        <v>54</v>
      </c>
      <c r="F9" s="4" t="s">
        <v>203</v>
      </c>
      <c r="G9" s="5">
        <v>569</v>
      </c>
      <c r="H9" s="5">
        <v>41</v>
      </c>
      <c r="I9" s="6">
        <f t="shared" si="0"/>
        <v>528</v>
      </c>
      <c r="J9" s="5">
        <v>131</v>
      </c>
      <c r="K9" s="5">
        <v>97</v>
      </c>
      <c r="L9" s="5">
        <v>12500</v>
      </c>
      <c r="M9" s="7">
        <f t="shared" si="1"/>
        <v>4.5519999999999998E-2</v>
      </c>
      <c r="N9" s="5">
        <v>86</v>
      </c>
      <c r="O9" s="5">
        <v>288</v>
      </c>
      <c r="P9" s="5">
        <v>1</v>
      </c>
      <c r="Q9" s="5">
        <v>7</v>
      </c>
      <c r="R9" s="8">
        <v>1.4</v>
      </c>
      <c r="S9" s="9">
        <f t="shared" si="2"/>
        <v>796.59999999999991</v>
      </c>
      <c r="T9" s="4" t="s">
        <v>56</v>
      </c>
      <c r="U9" s="10">
        <v>46248</v>
      </c>
      <c r="V9" s="10">
        <v>46255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204</v>
      </c>
      <c r="C10" s="11" t="s">
        <v>32</v>
      </c>
      <c r="D10" s="11" t="s">
        <v>59</v>
      </c>
      <c r="E10" s="11" t="s">
        <v>54</v>
      </c>
      <c r="F10" s="11" t="s">
        <v>205</v>
      </c>
      <c r="G10" s="12">
        <v>163</v>
      </c>
      <c r="H10" s="12">
        <v>48</v>
      </c>
      <c r="I10" s="13">
        <f t="shared" si="0"/>
        <v>115</v>
      </c>
      <c r="J10" s="12">
        <v>137</v>
      </c>
      <c r="K10" s="12">
        <v>122</v>
      </c>
      <c r="L10" s="12">
        <v>12500</v>
      </c>
      <c r="M10" s="14">
        <f t="shared" si="1"/>
        <v>1.304E-2</v>
      </c>
      <c r="N10" s="12">
        <v>170</v>
      </c>
      <c r="O10" s="12">
        <v>630</v>
      </c>
      <c r="P10" s="12">
        <v>2</v>
      </c>
      <c r="Q10" s="12">
        <v>14</v>
      </c>
      <c r="R10" s="15">
        <v>2.87</v>
      </c>
      <c r="S10" s="16">
        <f t="shared" si="2"/>
        <v>467.81</v>
      </c>
      <c r="T10" s="11" t="s">
        <v>56</v>
      </c>
      <c r="U10" s="17">
        <v>46246</v>
      </c>
      <c r="V10" s="17">
        <v>46260</v>
      </c>
      <c r="W10" s="11">
        <v>2</v>
      </c>
      <c r="X10" s="11">
        <v>6</v>
      </c>
      <c r="Y10" s="13" t="str">
        <f t="shared" si="3"/>
        <v>Critical</v>
      </c>
    </row>
    <row r="11" spans="1:25" x14ac:dyDescent="0.35">
      <c r="A11" s="4" t="s">
        <v>61</v>
      </c>
      <c r="B11" s="4" t="s">
        <v>206</v>
      </c>
      <c r="C11" s="4" t="s">
        <v>32</v>
      </c>
      <c r="D11" s="4" t="s">
        <v>63</v>
      </c>
      <c r="E11" s="4" t="s">
        <v>54</v>
      </c>
      <c r="F11" s="4" t="s">
        <v>207</v>
      </c>
      <c r="G11" s="5">
        <v>289</v>
      </c>
      <c r="H11" s="5">
        <v>0</v>
      </c>
      <c r="I11" s="6">
        <f t="shared" si="0"/>
        <v>289</v>
      </c>
      <c r="J11" s="5">
        <v>128</v>
      </c>
      <c r="K11" s="5">
        <v>98</v>
      </c>
      <c r="L11" s="5">
        <v>12500</v>
      </c>
      <c r="M11" s="7">
        <f t="shared" si="1"/>
        <v>2.3120000000000002E-2</v>
      </c>
      <c r="N11" s="5">
        <v>88</v>
      </c>
      <c r="O11" s="5">
        <v>296</v>
      </c>
      <c r="P11" s="5">
        <v>3</v>
      </c>
      <c r="Q11" s="5">
        <v>21</v>
      </c>
      <c r="R11" s="8">
        <v>4.2</v>
      </c>
      <c r="S11" s="9">
        <f t="shared" si="2"/>
        <v>1213.8</v>
      </c>
      <c r="T11" s="4" t="s">
        <v>65</v>
      </c>
      <c r="U11" s="10">
        <v>46243</v>
      </c>
      <c r="V11" s="10">
        <v>46264</v>
      </c>
      <c r="W11" s="4">
        <v>2</v>
      </c>
      <c r="X11" s="4">
        <v>7</v>
      </c>
      <c r="Y11" s="6" t="str">
        <f t="shared" si="3"/>
        <v>Healthy</v>
      </c>
    </row>
    <row r="12" spans="1:25" x14ac:dyDescent="0.35">
      <c r="A12" s="11" t="s">
        <v>66</v>
      </c>
      <c r="B12" s="11" t="s">
        <v>208</v>
      </c>
      <c r="C12" s="11" t="s">
        <v>32</v>
      </c>
      <c r="D12" s="11" t="s">
        <v>68</v>
      </c>
      <c r="E12" s="11" t="s">
        <v>69</v>
      </c>
      <c r="F12" s="11" t="s">
        <v>209</v>
      </c>
      <c r="G12" s="12">
        <v>464</v>
      </c>
      <c r="H12" s="12">
        <v>29</v>
      </c>
      <c r="I12" s="13">
        <f t="shared" si="0"/>
        <v>435</v>
      </c>
      <c r="J12" s="12">
        <v>191</v>
      </c>
      <c r="K12" s="12">
        <v>144</v>
      </c>
      <c r="L12" s="12">
        <v>12500</v>
      </c>
      <c r="M12" s="14">
        <f t="shared" si="1"/>
        <v>3.712E-2</v>
      </c>
      <c r="N12" s="12">
        <v>159</v>
      </c>
      <c r="O12" s="12">
        <v>578</v>
      </c>
      <c r="P12" s="12">
        <v>5</v>
      </c>
      <c r="Q12" s="12">
        <v>14</v>
      </c>
      <c r="R12" s="15">
        <v>4.17</v>
      </c>
      <c r="S12" s="16">
        <f t="shared" si="2"/>
        <v>1934.8799999999999</v>
      </c>
      <c r="T12" s="11" t="s">
        <v>41</v>
      </c>
      <c r="U12" s="17">
        <v>46251</v>
      </c>
      <c r="V12" s="17">
        <v>46265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210</v>
      </c>
      <c r="C13" s="4" t="s">
        <v>32</v>
      </c>
      <c r="D13" s="4" t="s">
        <v>73</v>
      </c>
      <c r="E13" s="4" t="s">
        <v>69</v>
      </c>
      <c r="F13" s="4" t="s">
        <v>211</v>
      </c>
      <c r="G13" s="5">
        <v>381</v>
      </c>
      <c r="H13" s="5">
        <v>24</v>
      </c>
      <c r="I13" s="6">
        <f t="shared" si="0"/>
        <v>357</v>
      </c>
      <c r="J13" s="5">
        <v>166</v>
      </c>
      <c r="K13" s="5">
        <v>127</v>
      </c>
      <c r="L13" s="5">
        <v>12500</v>
      </c>
      <c r="M13" s="7">
        <f t="shared" si="1"/>
        <v>3.048E-2</v>
      </c>
      <c r="N13" s="5">
        <v>94</v>
      </c>
      <c r="O13" s="5">
        <v>357</v>
      </c>
      <c r="P13" s="5">
        <v>6</v>
      </c>
      <c r="Q13" s="5">
        <v>18</v>
      </c>
      <c r="R13" s="8">
        <v>1.33</v>
      </c>
      <c r="S13" s="9">
        <f t="shared" si="2"/>
        <v>506.73</v>
      </c>
      <c r="T13" s="4" t="s">
        <v>41</v>
      </c>
      <c r="U13" s="10">
        <v>46246</v>
      </c>
      <c r="V13" s="10">
        <v>46264</v>
      </c>
      <c r="W13" s="4">
        <v>8</v>
      </c>
      <c r="X13" s="4">
        <v>13</v>
      </c>
      <c r="Y13" s="6" t="str">
        <f t="shared" si="3"/>
        <v>Healthy</v>
      </c>
    </row>
    <row r="14" spans="1:25" x14ac:dyDescent="0.35">
      <c r="A14" s="11" t="s">
        <v>75</v>
      </c>
      <c r="B14" s="11" t="s">
        <v>212</v>
      </c>
      <c r="C14" s="11" t="s">
        <v>32</v>
      </c>
      <c r="D14" s="11" t="s">
        <v>77</v>
      </c>
      <c r="E14" s="11" t="s">
        <v>34</v>
      </c>
      <c r="F14" s="11" t="s">
        <v>213</v>
      </c>
      <c r="G14" s="12">
        <v>108</v>
      </c>
      <c r="H14" s="12">
        <v>19</v>
      </c>
      <c r="I14" s="13">
        <f t="shared" si="0"/>
        <v>89</v>
      </c>
      <c r="J14" s="12">
        <v>101</v>
      </c>
      <c r="K14" s="12">
        <v>34</v>
      </c>
      <c r="L14" s="12">
        <v>12500</v>
      </c>
      <c r="M14" s="14">
        <f t="shared" si="1"/>
        <v>8.6400000000000001E-3</v>
      </c>
      <c r="N14" s="12">
        <v>172</v>
      </c>
      <c r="O14" s="12">
        <v>666</v>
      </c>
      <c r="P14" s="12">
        <v>3</v>
      </c>
      <c r="Q14" s="12">
        <v>42</v>
      </c>
      <c r="R14" s="15">
        <v>1.64</v>
      </c>
      <c r="S14" s="16">
        <f t="shared" si="2"/>
        <v>177.11999999999998</v>
      </c>
      <c r="T14" s="11" t="s">
        <v>46</v>
      </c>
      <c r="U14" s="17">
        <v>46246</v>
      </c>
      <c r="V14" s="17">
        <v>46288</v>
      </c>
      <c r="W14" s="11">
        <v>5</v>
      </c>
      <c r="X14" s="11">
        <v>9</v>
      </c>
      <c r="Y14" s="13" t="str">
        <f t="shared" si="3"/>
        <v>Reorder</v>
      </c>
    </row>
    <row r="15" spans="1:25" x14ac:dyDescent="0.35">
      <c r="A15" s="4" t="s">
        <v>79</v>
      </c>
      <c r="B15" s="4" t="s">
        <v>214</v>
      </c>
      <c r="C15" s="4" t="s">
        <v>81</v>
      </c>
      <c r="D15" s="4" t="s">
        <v>82</v>
      </c>
      <c r="E15" s="4" t="s">
        <v>34</v>
      </c>
      <c r="F15" s="4" t="s">
        <v>215</v>
      </c>
      <c r="G15" s="5">
        <v>119</v>
      </c>
      <c r="H15" s="5">
        <v>4</v>
      </c>
      <c r="I15" s="6">
        <f t="shared" si="0"/>
        <v>115</v>
      </c>
      <c r="J15" s="5">
        <v>191</v>
      </c>
      <c r="K15" s="5">
        <v>57</v>
      </c>
      <c r="L15" s="5">
        <v>12500</v>
      </c>
      <c r="M15" s="7">
        <f t="shared" si="1"/>
        <v>9.5200000000000007E-3</v>
      </c>
      <c r="N15" s="5">
        <v>78</v>
      </c>
      <c r="O15" s="5">
        <v>328</v>
      </c>
      <c r="P15" s="5">
        <v>2</v>
      </c>
      <c r="Q15" s="5">
        <v>75</v>
      </c>
      <c r="R15" s="8">
        <v>3.22</v>
      </c>
      <c r="S15" s="9">
        <f t="shared" si="2"/>
        <v>383.18</v>
      </c>
      <c r="T15" s="4" t="s">
        <v>84</v>
      </c>
      <c r="U15" s="10">
        <v>46248</v>
      </c>
      <c r="V15" s="10">
        <v>46323</v>
      </c>
      <c r="W15" s="4">
        <v>6</v>
      </c>
      <c r="X15" s="4">
        <v>12</v>
      </c>
      <c r="Y15" s="6" t="str">
        <f t="shared" si="3"/>
        <v>Reorder</v>
      </c>
    </row>
    <row r="16" spans="1:25" x14ac:dyDescent="0.35">
      <c r="A16" s="11" t="s">
        <v>85</v>
      </c>
      <c r="B16" s="11" t="s">
        <v>216</v>
      </c>
      <c r="C16" s="11" t="s">
        <v>81</v>
      </c>
      <c r="D16" s="11" t="s">
        <v>87</v>
      </c>
      <c r="E16" s="11" t="s">
        <v>34</v>
      </c>
      <c r="F16" s="11" t="s">
        <v>217</v>
      </c>
      <c r="G16" s="12">
        <v>384</v>
      </c>
      <c r="H16" s="12">
        <v>49</v>
      </c>
      <c r="I16" s="13">
        <f t="shared" si="0"/>
        <v>335</v>
      </c>
      <c r="J16" s="12">
        <v>198</v>
      </c>
      <c r="K16" s="12">
        <v>30</v>
      </c>
      <c r="L16" s="12">
        <v>12500</v>
      </c>
      <c r="M16" s="14">
        <f t="shared" si="1"/>
        <v>3.0720000000000001E-2</v>
      </c>
      <c r="N16" s="12">
        <v>284</v>
      </c>
      <c r="O16" s="12">
        <v>1099</v>
      </c>
      <c r="P16" s="12">
        <v>2</v>
      </c>
      <c r="Q16" s="12">
        <v>35</v>
      </c>
      <c r="R16" s="15">
        <v>1.33</v>
      </c>
      <c r="S16" s="16">
        <f t="shared" si="2"/>
        <v>510.72</v>
      </c>
      <c r="T16" s="11" t="s">
        <v>89</v>
      </c>
      <c r="U16" s="17">
        <v>46250</v>
      </c>
      <c r="V16" s="17">
        <v>46285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218</v>
      </c>
      <c r="C17" s="4" t="s">
        <v>81</v>
      </c>
      <c r="D17" s="4" t="s">
        <v>92</v>
      </c>
      <c r="E17" s="4" t="s">
        <v>69</v>
      </c>
      <c r="F17" s="4" t="s">
        <v>219</v>
      </c>
      <c r="G17" s="5">
        <v>392</v>
      </c>
      <c r="H17" s="5">
        <v>63</v>
      </c>
      <c r="I17" s="6">
        <f t="shared" si="0"/>
        <v>329</v>
      </c>
      <c r="J17" s="5">
        <v>142</v>
      </c>
      <c r="K17" s="5">
        <v>51</v>
      </c>
      <c r="L17" s="5">
        <v>12500</v>
      </c>
      <c r="M17" s="7">
        <f t="shared" si="1"/>
        <v>3.1359999999999999E-2</v>
      </c>
      <c r="N17" s="5">
        <v>164</v>
      </c>
      <c r="O17" s="5">
        <v>741</v>
      </c>
      <c r="P17" s="5">
        <v>2</v>
      </c>
      <c r="Q17" s="5">
        <v>12</v>
      </c>
      <c r="R17" s="8">
        <v>4.4800000000000004</v>
      </c>
      <c r="S17" s="9">
        <f t="shared" si="2"/>
        <v>1756.16</v>
      </c>
      <c r="T17" s="4" t="s">
        <v>84</v>
      </c>
      <c r="U17" s="10">
        <v>46246</v>
      </c>
      <c r="V17" s="10">
        <v>46258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220</v>
      </c>
      <c r="C18" s="11" t="s">
        <v>81</v>
      </c>
      <c r="D18" s="11" t="s">
        <v>96</v>
      </c>
      <c r="E18" s="11" t="s">
        <v>97</v>
      </c>
      <c r="F18" s="11" t="s">
        <v>221</v>
      </c>
      <c r="G18" s="12">
        <v>530</v>
      </c>
      <c r="H18" s="12">
        <v>4</v>
      </c>
      <c r="I18" s="13">
        <f t="shared" si="0"/>
        <v>526</v>
      </c>
      <c r="J18" s="12">
        <v>173</v>
      </c>
      <c r="K18" s="12">
        <v>65</v>
      </c>
      <c r="L18" s="12">
        <v>12500</v>
      </c>
      <c r="M18" s="14">
        <f t="shared" si="1"/>
        <v>4.24E-2</v>
      </c>
      <c r="N18" s="12">
        <v>154</v>
      </c>
      <c r="O18" s="12">
        <v>667</v>
      </c>
      <c r="P18" s="12">
        <v>1</v>
      </c>
      <c r="Q18" s="12">
        <v>7</v>
      </c>
      <c r="R18" s="15">
        <v>0.64</v>
      </c>
      <c r="S18" s="16">
        <f t="shared" si="2"/>
        <v>339.2</v>
      </c>
      <c r="T18" s="11" t="s">
        <v>99</v>
      </c>
      <c r="U18" s="17">
        <v>46248</v>
      </c>
      <c r="V18" s="17">
        <v>46255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222</v>
      </c>
      <c r="C19" s="4" t="s">
        <v>81</v>
      </c>
      <c r="D19" s="4" t="s">
        <v>102</v>
      </c>
      <c r="E19" s="4" t="s">
        <v>34</v>
      </c>
      <c r="F19" s="4" t="s">
        <v>223</v>
      </c>
      <c r="G19" s="5">
        <v>300</v>
      </c>
      <c r="H19" s="5">
        <v>64</v>
      </c>
      <c r="I19" s="6">
        <f t="shared" si="0"/>
        <v>236</v>
      </c>
      <c r="J19" s="5">
        <v>99</v>
      </c>
      <c r="K19" s="5">
        <v>71</v>
      </c>
      <c r="L19" s="5">
        <v>12500</v>
      </c>
      <c r="M19" s="7">
        <f t="shared" si="1"/>
        <v>2.4E-2</v>
      </c>
      <c r="N19" s="5">
        <v>131</v>
      </c>
      <c r="O19" s="5">
        <v>491</v>
      </c>
      <c r="P19" s="5">
        <v>2</v>
      </c>
      <c r="Q19" s="5">
        <v>14</v>
      </c>
      <c r="R19" s="8">
        <v>4.2699999999999996</v>
      </c>
      <c r="S19" s="9">
        <f t="shared" si="2"/>
        <v>1280.9999999999998</v>
      </c>
      <c r="T19" s="4" t="s">
        <v>104</v>
      </c>
      <c r="U19" s="10">
        <v>46250</v>
      </c>
      <c r="V19" s="10">
        <v>46264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224</v>
      </c>
      <c r="C20" s="11" t="s">
        <v>81</v>
      </c>
      <c r="D20" s="11" t="s">
        <v>107</v>
      </c>
      <c r="E20" s="11" t="s">
        <v>69</v>
      </c>
      <c r="F20" s="11" t="s">
        <v>225</v>
      </c>
      <c r="G20" s="12">
        <v>147</v>
      </c>
      <c r="H20" s="12">
        <v>43</v>
      </c>
      <c r="I20" s="13">
        <f t="shared" si="0"/>
        <v>104</v>
      </c>
      <c r="J20" s="12">
        <v>175</v>
      </c>
      <c r="K20" s="12">
        <v>100</v>
      </c>
      <c r="L20" s="12">
        <v>12500</v>
      </c>
      <c r="M20" s="14">
        <f t="shared" si="1"/>
        <v>1.176E-2</v>
      </c>
      <c r="N20" s="12">
        <v>278</v>
      </c>
      <c r="O20" s="12">
        <v>1136</v>
      </c>
      <c r="P20" s="12">
        <v>2</v>
      </c>
      <c r="Q20" s="12">
        <v>14</v>
      </c>
      <c r="R20" s="15">
        <v>1.34</v>
      </c>
      <c r="S20" s="16">
        <f t="shared" si="2"/>
        <v>196.98000000000002</v>
      </c>
      <c r="T20" s="11" t="s">
        <v>104</v>
      </c>
      <c r="U20" s="17">
        <v>46244</v>
      </c>
      <c r="V20" s="17">
        <v>46258</v>
      </c>
      <c r="W20" s="11">
        <v>8</v>
      </c>
      <c r="X20" s="11">
        <v>12</v>
      </c>
      <c r="Y20" s="13" t="str">
        <f t="shared" si="3"/>
        <v>Reorder</v>
      </c>
    </row>
    <row r="21" spans="1:25" x14ac:dyDescent="0.35">
      <c r="A21" s="4" t="s">
        <v>109</v>
      </c>
      <c r="B21" s="4" t="s">
        <v>226</v>
      </c>
      <c r="C21" s="4" t="s">
        <v>81</v>
      </c>
      <c r="D21" s="4" t="s">
        <v>111</v>
      </c>
      <c r="E21" s="4" t="s">
        <v>112</v>
      </c>
      <c r="F21" s="4" t="s">
        <v>227</v>
      </c>
      <c r="G21" s="5">
        <v>503</v>
      </c>
      <c r="H21" s="5">
        <v>69</v>
      </c>
      <c r="I21" s="6">
        <f t="shared" si="0"/>
        <v>434</v>
      </c>
      <c r="J21" s="5">
        <v>186</v>
      </c>
      <c r="K21" s="5">
        <v>81</v>
      </c>
      <c r="L21" s="5">
        <v>12500</v>
      </c>
      <c r="M21" s="7">
        <f t="shared" si="1"/>
        <v>4.0239999999999998E-2</v>
      </c>
      <c r="N21" s="5">
        <v>215</v>
      </c>
      <c r="O21" s="5">
        <v>806</v>
      </c>
      <c r="P21" s="5">
        <v>3</v>
      </c>
      <c r="Q21" s="5">
        <v>18</v>
      </c>
      <c r="R21" s="8">
        <v>2.6</v>
      </c>
      <c r="S21" s="9">
        <f t="shared" si="2"/>
        <v>1307.8</v>
      </c>
      <c r="T21" s="4" t="s">
        <v>104</v>
      </c>
      <c r="U21" s="10">
        <v>46245</v>
      </c>
      <c r="V21" s="10">
        <v>46263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228</v>
      </c>
      <c r="C22" s="11" t="s">
        <v>81</v>
      </c>
      <c r="D22" s="11" t="s">
        <v>116</v>
      </c>
      <c r="E22" s="11" t="s">
        <v>34</v>
      </c>
      <c r="F22" s="11" t="s">
        <v>229</v>
      </c>
      <c r="G22" s="12">
        <v>575</v>
      </c>
      <c r="H22" s="12">
        <v>21</v>
      </c>
      <c r="I22" s="13">
        <f t="shared" si="0"/>
        <v>554</v>
      </c>
      <c r="J22" s="12">
        <v>97</v>
      </c>
      <c r="K22" s="12">
        <v>42</v>
      </c>
      <c r="L22" s="12">
        <v>12500</v>
      </c>
      <c r="M22" s="14">
        <f t="shared" si="1"/>
        <v>4.5999999999999999E-2</v>
      </c>
      <c r="N22" s="12">
        <v>142</v>
      </c>
      <c r="O22" s="12">
        <v>679</v>
      </c>
      <c r="P22" s="12">
        <v>2</v>
      </c>
      <c r="Q22" s="12">
        <v>60</v>
      </c>
      <c r="R22" s="15">
        <v>4.12</v>
      </c>
      <c r="S22" s="16">
        <f t="shared" si="2"/>
        <v>2369</v>
      </c>
      <c r="T22" s="11" t="s">
        <v>89</v>
      </c>
      <c r="U22" s="17">
        <v>46248</v>
      </c>
      <c r="V22" s="17">
        <v>46308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230</v>
      </c>
      <c r="C23" s="4" t="s">
        <v>81</v>
      </c>
      <c r="D23" s="4" t="s">
        <v>120</v>
      </c>
      <c r="E23" s="4" t="s">
        <v>34</v>
      </c>
      <c r="F23" s="4" t="s">
        <v>231</v>
      </c>
      <c r="G23" s="5">
        <v>175</v>
      </c>
      <c r="H23" s="5">
        <v>12</v>
      </c>
      <c r="I23" s="6">
        <f t="shared" si="0"/>
        <v>163</v>
      </c>
      <c r="J23" s="5">
        <v>185</v>
      </c>
      <c r="K23" s="5">
        <v>36</v>
      </c>
      <c r="L23" s="5">
        <v>12500</v>
      </c>
      <c r="M23" s="7">
        <f t="shared" si="1"/>
        <v>1.4E-2</v>
      </c>
      <c r="N23" s="5">
        <v>254</v>
      </c>
      <c r="O23" s="5">
        <v>957</v>
      </c>
      <c r="P23" s="5">
        <v>2</v>
      </c>
      <c r="Q23" s="5">
        <v>12</v>
      </c>
      <c r="R23" s="8">
        <v>0.68</v>
      </c>
      <c r="S23" s="9">
        <f t="shared" si="2"/>
        <v>119.00000000000001</v>
      </c>
      <c r="T23" s="4" t="s">
        <v>84</v>
      </c>
      <c r="U23" s="10">
        <v>46250</v>
      </c>
      <c r="V23" s="10">
        <v>46262</v>
      </c>
      <c r="W23" s="4">
        <v>6</v>
      </c>
      <c r="X23" s="4">
        <v>10</v>
      </c>
      <c r="Y23" s="6" t="str">
        <f t="shared" si="3"/>
        <v>Reorder</v>
      </c>
    </row>
    <row r="24" spans="1:25" x14ac:dyDescent="0.35">
      <c r="A24" s="11" t="s">
        <v>122</v>
      </c>
      <c r="B24" s="11" t="s">
        <v>232</v>
      </c>
      <c r="C24" s="11" t="s">
        <v>32</v>
      </c>
      <c r="D24" s="11" t="s">
        <v>124</v>
      </c>
      <c r="E24" s="11" t="s">
        <v>69</v>
      </c>
      <c r="F24" s="11" t="s">
        <v>233</v>
      </c>
      <c r="G24" s="12">
        <v>215</v>
      </c>
      <c r="H24" s="12">
        <v>7</v>
      </c>
      <c r="I24" s="13">
        <f t="shared" si="0"/>
        <v>208</v>
      </c>
      <c r="J24" s="12">
        <v>95</v>
      </c>
      <c r="K24" s="12">
        <v>50</v>
      </c>
      <c r="L24" s="12">
        <v>12500</v>
      </c>
      <c r="M24" s="14">
        <f t="shared" si="1"/>
        <v>1.72E-2</v>
      </c>
      <c r="N24" s="12">
        <v>72</v>
      </c>
      <c r="O24" s="12">
        <v>323</v>
      </c>
      <c r="P24" s="12">
        <v>5</v>
      </c>
      <c r="Q24" s="12">
        <v>10</v>
      </c>
      <c r="R24" s="15">
        <v>2.04</v>
      </c>
      <c r="S24" s="16">
        <f t="shared" si="2"/>
        <v>438.6</v>
      </c>
      <c r="T24" s="11" t="s">
        <v>41</v>
      </c>
      <c r="U24" s="17">
        <v>46250</v>
      </c>
      <c r="V24" s="17">
        <v>46260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234</v>
      </c>
      <c r="C25" s="4" t="s">
        <v>81</v>
      </c>
      <c r="D25" s="4" t="s">
        <v>128</v>
      </c>
      <c r="E25" s="4" t="s">
        <v>69</v>
      </c>
      <c r="F25" s="4" t="s">
        <v>235</v>
      </c>
      <c r="G25" s="5">
        <v>119</v>
      </c>
      <c r="H25" s="5">
        <v>8</v>
      </c>
      <c r="I25" s="6">
        <f t="shared" si="0"/>
        <v>111</v>
      </c>
      <c r="J25" s="5">
        <v>80</v>
      </c>
      <c r="K25" s="5">
        <v>31</v>
      </c>
      <c r="L25" s="5">
        <v>12500</v>
      </c>
      <c r="M25" s="7">
        <f t="shared" si="1"/>
        <v>9.5200000000000007E-3</v>
      </c>
      <c r="N25" s="5">
        <v>155</v>
      </c>
      <c r="O25" s="5">
        <v>560</v>
      </c>
      <c r="P25" s="5">
        <v>2</v>
      </c>
      <c r="Q25" s="5">
        <v>12</v>
      </c>
      <c r="R25" s="8">
        <v>2.44</v>
      </c>
      <c r="S25" s="9">
        <f t="shared" si="2"/>
        <v>290.36</v>
      </c>
      <c r="T25" s="4" t="s">
        <v>84</v>
      </c>
      <c r="U25" s="10">
        <v>46247</v>
      </c>
      <c r="V25" s="10">
        <v>46259</v>
      </c>
      <c r="W25" s="4">
        <v>1</v>
      </c>
      <c r="X25" s="4">
        <v>5</v>
      </c>
      <c r="Y25" s="6" t="str">
        <f t="shared" si="3"/>
        <v>Below Forecast</v>
      </c>
    </row>
    <row r="26" spans="1:25" x14ac:dyDescent="0.35">
      <c r="A26" s="11" t="s">
        <v>130</v>
      </c>
      <c r="B26" s="11" t="s">
        <v>236</v>
      </c>
      <c r="C26" s="11" t="s">
        <v>81</v>
      </c>
      <c r="D26" s="11" t="s">
        <v>132</v>
      </c>
      <c r="E26" s="11" t="s">
        <v>34</v>
      </c>
      <c r="F26" s="11" t="s">
        <v>237</v>
      </c>
      <c r="G26" s="12">
        <v>334</v>
      </c>
      <c r="H26" s="12">
        <v>29</v>
      </c>
      <c r="I26" s="13">
        <f t="shared" si="0"/>
        <v>305</v>
      </c>
      <c r="J26" s="12">
        <v>214</v>
      </c>
      <c r="K26" s="12">
        <v>186</v>
      </c>
      <c r="L26" s="12">
        <v>12500</v>
      </c>
      <c r="M26" s="14">
        <f t="shared" si="1"/>
        <v>2.6720000000000001E-2</v>
      </c>
      <c r="N26" s="12">
        <v>298</v>
      </c>
      <c r="O26" s="12">
        <v>1174</v>
      </c>
      <c r="P26" s="12">
        <v>3</v>
      </c>
      <c r="Q26" s="12">
        <v>40</v>
      </c>
      <c r="R26" s="15">
        <v>4.74</v>
      </c>
      <c r="S26" s="16">
        <f t="shared" si="2"/>
        <v>1583.16</v>
      </c>
      <c r="T26" s="11" t="s">
        <v>89</v>
      </c>
      <c r="U26" s="17">
        <v>46250</v>
      </c>
      <c r="V26" s="17">
        <v>46290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238</v>
      </c>
      <c r="C27" s="4" t="s">
        <v>32</v>
      </c>
      <c r="D27" s="4" t="s">
        <v>136</v>
      </c>
      <c r="E27" s="4" t="s">
        <v>112</v>
      </c>
      <c r="F27" s="4" t="s">
        <v>239</v>
      </c>
      <c r="G27" s="5">
        <v>577</v>
      </c>
      <c r="H27" s="5">
        <v>62</v>
      </c>
      <c r="I27" s="6">
        <f t="shared" si="0"/>
        <v>515</v>
      </c>
      <c r="J27" s="5">
        <v>122</v>
      </c>
      <c r="K27" s="5">
        <v>104</v>
      </c>
      <c r="L27" s="5">
        <v>12500</v>
      </c>
      <c r="M27" s="7">
        <f t="shared" si="1"/>
        <v>4.616E-2</v>
      </c>
      <c r="N27" s="5">
        <v>191</v>
      </c>
      <c r="O27" s="5">
        <v>808</v>
      </c>
      <c r="P27" s="5">
        <v>5</v>
      </c>
      <c r="Q27" s="5">
        <v>28</v>
      </c>
      <c r="R27" s="8">
        <v>2.4</v>
      </c>
      <c r="S27" s="9">
        <f t="shared" si="2"/>
        <v>1384.8</v>
      </c>
      <c r="T27" s="4" t="s">
        <v>65</v>
      </c>
      <c r="U27" s="10">
        <v>46248</v>
      </c>
      <c r="V27" s="10">
        <v>46276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240</v>
      </c>
      <c r="C28" s="11" t="s">
        <v>32</v>
      </c>
      <c r="D28" s="11" t="s">
        <v>140</v>
      </c>
      <c r="E28" s="11" t="s">
        <v>54</v>
      </c>
      <c r="F28" s="11" t="s">
        <v>241</v>
      </c>
      <c r="G28" s="12">
        <v>448</v>
      </c>
      <c r="H28" s="12">
        <v>26</v>
      </c>
      <c r="I28" s="13">
        <f t="shared" si="0"/>
        <v>422</v>
      </c>
      <c r="J28" s="12">
        <v>131</v>
      </c>
      <c r="K28" s="12">
        <v>99</v>
      </c>
      <c r="L28" s="12">
        <v>12500</v>
      </c>
      <c r="M28" s="14">
        <f t="shared" si="1"/>
        <v>3.5839999999999997E-2</v>
      </c>
      <c r="N28" s="12">
        <v>282</v>
      </c>
      <c r="O28" s="12">
        <v>1169</v>
      </c>
      <c r="P28" s="12">
        <v>1</v>
      </c>
      <c r="Q28" s="12">
        <v>6</v>
      </c>
      <c r="R28" s="15">
        <v>0.57999999999999996</v>
      </c>
      <c r="S28" s="16">
        <f t="shared" si="2"/>
        <v>259.83999999999997</v>
      </c>
      <c r="T28" s="11" t="s">
        <v>56</v>
      </c>
      <c r="U28" s="17">
        <v>46249</v>
      </c>
      <c r="V28" s="17">
        <v>46255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23" priority="2">
      <formula>Y5="Critical"</formula>
    </cfRule>
    <cfRule type="expression" dxfId="22" priority="3">
      <formula>Y5="Reorder"</formula>
    </cfRule>
    <cfRule type="expression" dxfId="21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242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243</v>
      </c>
      <c r="D3" s="1" t="s">
        <v>4</v>
      </c>
      <c r="E3" s="2">
        <v>24</v>
      </c>
      <c r="G3" s="1" t="s">
        <v>5</v>
      </c>
      <c r="H3" s="2">
        <v>14000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244</v>
      </c>
      <c r="C5" s="4" t="s">
        <v>32</v>
      </c>
      <c r="D5" s="4" t="s">
        <v>33</v>
      </c>
      <c r="E5" s="4" t="s">
        <v>34</v>
      </c>
      <c r="F5" s="4" t="s">
        <v>245</v>
      </c>
      <c r="G5" s="5">
        <v>264</v>
      </c>
      <c r="H5" s="5">
        <v>58</v>
      </c>
      <c r="I5" s="6">
        <f t="shared" ref="I5:I28" si="0">G5-H5</f>
        <v>206</v>
      </c>
      <c r="J5" s="5">
        <v>211</v>
      </c>
      <c r="K5" s="5">
        <v>104</v>
      </c>
      <c r="L5" s="5">
        <v>14000</v>
      </c>
      <c r="M5" s="7">
        <f t="shared" ref="M5:M28" si="1">G5/L5</f>
        <v>1.8857142857142857E-2</v>
      </c>
      <c r="N5" s="5">
        <v>182</v>
      </c>
      <c r="O5" s="5">
        <v>720</v>
      </c>
      <c r="P5" s="5">
        <v>2</v>
      </c>
      <c r="Q5" s="5">
        <v>45</v>
      </c>
      <c r="R5" s="8">
        <v>3.44</v>
      </c>
      <c r="S5" s="9">
        <f t="shared" ref="S5:S28" si="2">G5*R5</f>
        <v>908.16</v>
      </c>
      <c r="T5" s="4" t="s">
        <v>36</v>
      </c>
      <c r="U5" s="10">
        <v>46245</v>
      </c>
      <c r="V5" s="10">
        <v>46290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Reorder</v>
      </c>
    </row>
    <row r="6" spans="1:25" x14ac:dyDescent="0.35">
      <c r="A6" s="11" t="s">
        <v>37</v>
      </c>
      <c r="B6" s="11" t="s">
        <v>246</v>
      </c>
      <c r="C6" s="11" t="s">
        <v>32</v>
      </c>
      <c r="D6" s="11" t="s">
        <v>39</v>
      </c>
      <c r="E6" s="11" t="s">
        <v>34</v>
      </c>
      <c r="F6" s="11" t="s">
        <v>247</v>
      </c>
      <c r="G6" s="12">
        <v>537</v>
      </c>
      <c r="H6" s="12">
        <v>33</v>
      </c>
      <c r="I6" s="13">
        <f t="shared" si="0"/>
        <v>504</v>
      </c>
      <c r="J6" s="12">
        <v>136</v>
      </c>
      <c r="K6" s="12">
        <v>96</v>
      </c>
      <c r="L6" s="12">
        <v>14000</v>
      </c>
      <c r="M6" s="14">
        <f t="shared" si="1"/>
        <v>3.835714285714286E-2</v>
      </c>
      <c r="N6" s="12">
        <v>120</v>
      </c>
      <c r="O6" s="12">
        <v>518</v>
      </c>
      <c r="P6" s="12">
        <v>5</v>
      </c>
      <c r="Q6" s="12">
        <v>18</v>
      </c>
      <c r="R6" s="15">
        <v>1.48</v>
      </c>
      <c r="S6" s="16">
        <f t="shared" si="2"/>
        <v>794.76</v>
      </c>
      <c r="T6" s="11" t="s">
        <v>41</v>
      </c>
      <c r="U6" s="17">
        <v>46246</v>
      </c>
      <c r="V6" s="17">
        <v>46264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248</v>
      </c>
      <c r="C7" s="4" t="s">
        <v>32</v>
      </c>
      <c r="D7" s="4" t="s">
        <v>44</v>
      </c>
      <c r="E7" s="4" t="s">
        <v>34</v>
      </c>
      <c r="F7" s="4" t="s">
        <v>249</v>
      </c>
      <c r="G7" s="5">
        <v>604</v>
      </c>
      <c r="H7" s="5">
        <v>33</v>
      </c>
      <c r="I7" s="6">
        <f t="shared" si="0"/>
        <v>571</v>
      </c>
      <c r="J7" s="5">
        <v>170</v>
      </c>
      <c r="K7" s="5">
        <v>48</v>
      </c>
      <c r="L7" s="5">
        <v>14000</v>
      </c>
      <c r="M7" s="7">
        <f t="shared" si="1"/>
        <v>4.3142857142857143E-2</v>
      </c>
      <c r="N7" s="5">
        <v>171</v>
      </c>
      <c r="O7" s="5">
        <v>758</v>
      </c>
      <c r="P7" s="5">
        <v>3</v>
      </c>
      <c r="Q7" s="5">
        <v>38</v>
      </c>
      <c r="R7" s="8">
        <v>4.4800000000000004</v>
      </c>
      <c r="S7" s="9">
        <f t="shared" si="2"/>
        <v>2705.92</v>
      </c>
      <c r="T7" s="4" t="s">
        <v>46</v>
      </c>
      <c r="U7" s="10">
        <v>46249</v>
      </c>
      <c r="V7" s="10">
        <v>46287</v>
      </c>
      <c r="W7" s="4">
        <v>4</v>
      </c>
      <c r="X7" s="4">
        <v>8</v>
      </c>
      <c r="Y7" s="6" t="str">
        <f t="shared" si="3"/>
        <v>Healthy</v>
      </c>
    </row>
    <row r="8" spans="1:25" x14ac:dyDescent="0.35">
      <c r="A8" s="11" t="s">
        <v>47</v>
      </c>
      <c r="B8" s="11" t="s">
        <v>250</v>
      </c>
      <c r="C8" s="11" t="s">
        <v>32</v>
      </c>
      <c r="D8" s="11" t="s">
        <v>49</v>
      </c>
      <c r="E8" s="11" t="s">
        <v>34</v>
      </c>
      <c r="F8" s="11" t="s">
        <v>251</v>
      </c>
      <c r="G8" s="12">
        <v>364</v>
      </c>
      <c r="H8" s="12">
        <v>49</v>
      </c>
      <c r="I8" s="13">
        <f t="shared" si="0"/>
        <v>315</v>
      </c>
      <c r="J8" s="12">
        <v>133</v>
      </c>
      <c r="K8" s="12">
        <v>123</v>
      </c>
      <c r="L8" s="12">
        <v>14000</v>
      </c>
      <c r="M8" s="14">
        <f t="shared" si="1"/>
        <v>2.5999999999999999E-2</v>
      </c>
      <c r="N8" s="12">
        <v>266</v>
      </c>
      <c r="O8" s="12">
        <v>1163</v>
      </c>
      <c r="P8" s="12">
        <v>3</v>
      </c>
      <c r="Q8" s="12">
        <v>35</v>
      </c>
      <c r="R8" s="15">
        <v>4.3499999999999996</v>
      </c>
      <c r="S8" s="16">
        <f t="shared" si="2"/>
        <v>1583.3999999999999</v>
      </c>
      <c r="T8" s="11" t="s">
        <v>36</v>
      </c>
      <c r="U8" s="17">
        <v>46248</v>
      </c>
      <c r="V8" s="17">
        <v>46283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252</v>
      </c>
      <c r="C9" s="4" t="s">
        <v>32</v>
      </c>
      <c r="D9" s="4" t="s">
        <v>53</v>
      </c>
      <c r="E9" s="4" t="s">
        <v>54</v>
      </c>
      <c r="F9" s="4" t="s">
        <v>253</v>
      </c>
      <c r="G9" s="5">
        <v>236</v>
      </c>
      <c r="H9" s="5">
        <v>66</v>
      </c>
      <c r="I9" s="6">
        <f t="shared" si="0"/>
        <v>170</v>
      </c>
      <c r="J9" s="5">
        <v>134</v>
      </c>
      <c r="K9" s="5">
        <v>93</v>
      </c>
      <c r="L9" s="5">
        <v>14000</v>
      </c>
      <c r="M9" s="7">
        <f t="shared" si="1"/>
        <v>1.6857142857142859E-2</v>
      </c>
      <c r="N9" s="5">
        <v>266</v>
      </c>
      <c r="O9" s="5">
        <v>1054</v>
      </c>
      <c r="P9" s="5">
        <v>1</v>
      </c>
      <c r="Q9" s="5">
        <v>7</v>
      </c>
      <c r="R9" s="8">
        <v>4.0199999999999996</v>
      </c>
      <c r="S9" s="9">
        <f t="shared" si="2"/>
        <v>948.71999999999991</v>
      </c>
      <c r="T9" s="4" t="s">
        <v>56</v>
      </c>
      <c r="U9" s="10">
        <v>46251</v>
      </c>
      <c r="V9" s="10">
        <v>46258</v>
      </c>
      <c r="W9" s="4">
        <v>2</v>
      </c>
      <c r="X9" s="4">
        <v>5</v>
      </c>
      <c r="Y9" s="6" t="str">
        <f t="shared" si="3"/>
        <v>Below Forecast</v>
      </c>
    </row>
    <row r="10" spans="1:25" x14ac:dyDescent="0.35">
      <c r="A10" s="11" t="s">
        <v>57</v>
      </c>
      <c r="B10" s="11" t="s">
        <v>254</v>
      </c>
      <c r="C10" s="11" t="s">
        <v>32</v>
      </c>
      <c r="D10" s="11" t="s">
        <v>59</v>
      </c>
      <c r="E10" s="11" t="s">
        <v>54</v>
      </c>
      <c r="F10" s="11" t="s">
        <v>255</v>
      </c>
      <c r="G10" s="12">
        <v>303</v>
      </c>
      <c r="H10" s="12">
        <v>45</v>
      </c>
      <c r="I10" s="13">
        <f t="shared" si="0"/>
        <v>258</v>
      </c>
      <c r="J10" s="12">
        <v>199</v>
      </c>
      <c r="K10" s="12">
        <v>42</v>
      </c>
      <c r="L10" s="12">
        <v>14000</v>
      </c>
      <c r="M10" s="14">
        <f t="shared" si="1"/>
        <v>2.1642857142857144E-2</v>
      </c>
      <c r="N10" s="12">
        <v>139</v>
      </c>
      <c r="O10" s="12">
        <v>522</v>
      </c>
      <c r="P10" s="12">
        <v>2</v>
      </c>
      <c r="Q10" s="12">
        <v>14</v>
      </c>
      <c r="R10" s="15">
        <v>3.74</v>
      </c>
      <c r="S10" s="16">
        <f t="shared" si="2"/>
        <v>1133.22</v>
      </c>
      <c r="T10" s="11" t="s">
        <v>56</v>
      </c>
      <c r="U10" s="17">
        <v>46244</v>
      </c>
      <c r="V10" s="17">
        <v>46258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256</v>
      </c>
      <c r="C11" s="4" t="s">
        <v>32</v>
      </c>
      <c r="D11" s="4" t="s">
        <v>63</v>
      </c>
      <c r="E11" s="4" t="s">
        <v>54</v>
      </c>
      <c r="F11" s="4" t="s">
        <v>257</v>
      </c>
      <c r="G11" s="5">
        <v>241</v>
      </c>
      <c r="H11" s="5">
        <v>64</v>
      </c>
      <c r="I11" s="6">
        <f t="shared" si="0"/>
        <v>177</v>
      </c>
      <c r="J11" s="5">
        <v>136</v>
      </c>
      <c r="K11" s="5">
        <v>83</v>
      </c>
      <c r="L11" s="5">
        <v>14000</v>
      </c>
      <c r="M11" s="7">
        <f t="shared" si="1"/>
        <v>1.7214285714285713E-2</v>
      </c>
      <c r="N11" s="5">
        <v>205</v>
      </c>
      <c r="O11" s="5">
        <v>778</v>
      </c>
      <c r="P11" s="5">
        <v>3</v>
      </c>
      <c r="Q11" s="5">
        <v>21</v>
      </c>
      <c r="R11" s="8">
        <v>2.5099999999999998</v>
      </c>
      <c r="S11" s="9">
        <f t="shared" si="2"/>
        <v>604.91</v>
      </c>
      <c r="T11" s="4" t="s">
        <v>65</v>
      </c>
      <c r="U11" s="10">
        <v>46245</v>
      </c>
      <c r="V11" s="10">
        <v>46266</v>
      </c>
      <c r="W11" s="4">
        <v>2</v>
      </c>
      <c r="X11" s="4">
        <v>7</v>
      </c>
      <c r="Y11" s="6" t="str">
        <f t="shared" si="3"/>
        <v>Below Forecast</v>
      </c>
    </row>
    <row r="12" spans="1:25" x14ac:dyDescent="0.35">
      <c r="A12" s="11" t="s">
        <v>66</v>
      </c>
      <c r="B12" s="11" t="s">
        <v>258</v>
      </c>
      <c r="C12" s="11" t="s">
        <v>32</v>
      </c>
      <c r="D12" s="11" t="s">
        <v>68</v>
      </c>
      <c r="E12" s="11" t="s">
        <v>69</v>
      </c>
      <c r="F12" s="11" t="s">
        <v>259</v>
      </c>
      <c r="G12" s="12">
        <v>278</v>
      </c>
      <c r="H12" s="12">
        <v>47</v>
      </c>
      <c r="I12" s="13">
        <f t="shared" si="0"/>
        <v>231</v>
      </c>
      <c r="J12" s="12">
        <v>220</v>
      </c>
      <c r="K12" s="12">
        <v>57</v>
      </c>
      <c r="L12" s="12">
        <v>14000</v>
      </c>
      <c r="M12" s="14">
        <f t="shared" si="1"/>
        <v>1.9857142857142858E-2</v>
      </c>
      <c r="N12" s="12">
        <v>101</v>
      </c>
      <c r="O12" s="12">
        <v>464</v>
      </c>
      <c r="P12" s="12">
        <v>5</v>
      </c>
      <c r="Q12" s="12">
        <v>14</v>
      </c>
      <c r="R12" s="15">
        <v>3.09</v>
      </c>
      <c r="S12" s="16">
        <f t="shared" si="2"/>
        <v>859.02</v>
      </c>
      <c r="T12" s="11" t="s">
        <v>41</v>
      </c>
      <c r="U12" s="17">
        <v>46246</v>
      </c>
      <c r="V12" s="17">
        <v>46260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260</v>
      </c>
      <c r="C13" s="4" t="s">
        <v>32</v>
      </c>
      <c r="D13" s="4" t="s">
        <v>73</v>
      </c>
      <c r="E13" s="4" t="s">
        <v>69</v>
      </c>
      <c r="F13" s="4" t="s">
        <v>261</v>
      </c>
      <c r="G13" s="5">
        <v>476</v>
      </c>
      <c r="H13" s="5">
        <v>49</v>
      </c>
      <c r="I13" s="6">
        <f t="shared" si="0"/>
        <v>427</v>
      </c>
      <c r="J13" s="5">
        <v>100</v>
      </c>
      <c r="K13" s="5">
        <v>78</v>
      </c>
      <c r="L13" s="5">
        <v>14000</v>
      </c>
      <c r="M13" s="7">
        <f t="shared" si="1"/>
        <v>3.4000000000000002E-2</v>
      </c>
      <c r="N13" s="5">
        <v>275</v>
      </c>
      <c r="O13" s="5">
        <v>1193</v>
      </c>
      <c r="P13" s="5">
        <v>6</v>
      </c>
      <c r="Q13" s="5">
        <v>18</v>
      </c>
      <c r="R13" s="8">
        <v>1.1000000000000001</v>
      </c>
      <c r="S13" s="9">
        <f t="shared" si="2"/>
        <v>523.6</v>
      </c>
      <c r="T13" s="4" t="s">
        <v>41</v>
      </c>
      <c r="U13" s="10">
        <v>46247</v>
      </c>
      <c r="V13" s="10">
        <v>46265</v>
      </c>
      <c r="W13" s="4">
        <v>8</v>
      </c>
      <c r="X13" s="4">
        <v>13</v>
      </c>
      <c r="Y13" s="6" t="str">
        <f t="shared" si="3"/>
        <v>Healthy</v>
      </c>
    </row>
    <row r="14" spans="1:25" x14ac:dyDescent="0.35">
      <c r="A14" s="11" t="s">
        <v>75</v>
      </c>
      <c r="B14" s="11" t="s">
        <v>262</v>
      </c>
      <c r="C14" s="11" t="s">
        <v>32</v>
      </c>
      <c r="D14" s="11" t="s">
        <v>77</v>
      </c>
      <c r="E14" s="11" t="s">
        <v>34</v>
      </c>
      <c r="F14" s="11" t="s">
        <v>263</v>
      </c>
      <c r="G14" s="12">
        <v>538</v>
      </c>
      <c r="H14" s="12">
        <v>12</v>
      </c>
      <c r="I14" s="13">
        <f t="shared" si="0"/>
        <v>526</v>
      </c>
      <c r="J14" s="12">
        <v>213</v>
      </c>
      <c r="K14" s="12">
        <v>109</v>
      </c>
      <c r="L14" s="12">
        <v>14000</v>
      </c>
      <c r="M14" s="14">
        <f t="shared" si="1"/>
        <v>3.842857142857143E-2</v>
      </c>
      <c r="N14" s="12">
        <v>193</v>
      </c>
      <c r="O14" s="12">
        <v>710</v>
      </c>
      <c r="P14" s="12">
        <v>3</v>
      </c>
      <c r="Q14" s="12">
        <v>42</v>
      </c>
      <c r="R14" s="15">
        <v>0.91</v>
      </c>
      <c r="S14" s="16">
        <f t="shared" si="2"/>
        <v>489.58000000000004</v>
      </c>
      <c r="T14" s="11" t="s">
        <v>46</v>
      </c>
      <c r="U14" s="17">
        <v>46247</v>
      </c>
      <c r="V14" s="17">
        <v>46289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264</v>
      </c>
      <c r="C15" s="4" t="s">
        <v>81</v>
      </c>
      <c r="D15" s="4" t="s">
        <v>82</v>
      </c>
      <c r="E15" s="4" t="s">
        <v>34</v>
      </c>
      <c r="F15" s="4" t="s">
        <v>265</v>
      </c>
      <c r="G15" s="5">
        <v>113</v>
      </c>
      <c r="H15" s="5">
        <v>18</v>
      </c>
      <c r="I15" s="6">
        <f t="shared" si="0"/>
        <v>95</v>
      </c>
      <c r="J15" s="5">
        <v>205</v>
      </c>
      <c r="K15" s="5">
        <v>67</v>
      </c>
      <c r="L15" s="5">
        <v>14000</v>
      </c>
      <c r="M15" s="7">
        <f t="shared" si="1"/>
        <v>8.0714285714285714E-3</v>
      </c>
      <c r="N15" s="5">
        <v>150</v>
      </c>
      <c r="O15" s="5">
        <v>610</v>
      </c>
      <c r="P15" s="5">
        <v>2</v>
      </c>
      <c r="Q15" s="5">
        <v>75</v>
      </c>
      <c r="R15" s="8">
        <v>1.35</v>
      </c>
      <c r="S15" s="9">
        <f t="shared" si="2"/>
        <v>152.55000000000001</v>
      </c>
      <c r="T15" s="4" t="s">
        <v>84</v>
      </c>
      <c r="U15" s="10">
        <v>46247</v>
      </c>
      <c r="V15" s="10">
        <v>46322</v>
      </c>
      <c r="W15" s="4">
        <v>6</v>
      </c>
      <c r="X15" s="4">
        <v>12</v>
      </c>
      <c r="Y15" s="6" t="str">
        <f t="shared" si="3"/>
        <v>Reorder</v>
      </c>
    </row>
    <row r="16" spans="1:25" x14ac:dyDescent="0.35">
      <c r="A16" s="11" t="s">
        <v>85</v>
      </c>
      <c r="B16" s="11" t="s">
        <v>266</v>
      </c>
      <c r="C16" s="11" t="s">
        <v>81</v>
      </c>
      <c r="D16" s="11" t="s">
        <v>87</v>
      </c>
      <c r="E16" s="11" t="s">
        <v>34</v>
      </c>
      <c r="F16" s="11" t="s">
        <v>267</v>
      </c>
      <c r="G16" s="12">
        <v>225</v>
      </c>
      <c r="H16" s="12">
        <v>9</v>
      </c>
      <c r="I16" s="13">
        <f t="shared" si="0"/>
        <v>216</v>
      </c>
      <c r="J16" s="12">
        <v>101</v>
      </c>
      <c r="K16" s="12">
        <v>45</v>
      </c>
      <c r="L16" s="12">
        <v>14000</v>
      </c>
      <c r="M16" s="14">
        <f t="shared" si="1"/>
        <v>1.607142857142857E-2</v>
      </c>
      <c r="N16" s="12">
        <v>82</v>
      </c>
      <c r="O16" s="12">
        <v>429</v>
      </c>
      <c r="P16" s="12">
        <v>2</v>
      </c>
      <c r="Q16" s="12">
        <v>35</v>
      </c>
      <c r="R16" s="15">
        <v>1.24</v>
      </c>
      <c r="S16" s="16">
        <f t="shared" si="2"/>
        <v>279</v>
      </c>
      <c r="T16" s="11" t="s">
        <v>89</v>
      </c>
      <c r="U16" s="17">
        <v>46244</v>
      </c>
      <c r="V16" s="17">
        <v>46279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268</v>
      </c>
      <c r="C17" s="4" t="s">
        <v>81</v>
      </c>
      <c r="D17" s="4" t="s">
        <v>92</v>
      </c>
      <c r="E17" s="4" t="s">
        <v>69</v>
      </c>
      <c r="F17" s="4" t="s">
        <v>269</v>
      </c>
      <c r="G17" s="5">
        <v>183</v>
      </c>
      <c r="H17" s="5">
        <v>42</v>
      </c>
      <c r="I17" s="6">
        <f t="shared" si="0"/>
        <v>141</v>
      </c>
      <c r="J17" s="5">
        <v>213</v>
      </c>
      <c r="K17" s="5">
        <v>124</v>
      </c>
      <c r="L17" s="5">
        <v>14000</v>
      </c>
      <c r="M17" s="7">
        <f t="shared" si="1"/>
        <v>1.3071428571428571E-2</v>
      </c>
      <c r="N17" s="5">
        <v>258</v>
      </c>
      <c r="O17" s="5">
        <v>996</v>
      </c>
      <c r="P17" s="5">
        <v>2</v>
      </c>
      <c r="Q17" s="5">
        <v>12</v>
      </c>
      <c r="R17" s="8">
        <v>1.45</v>
      </c>
      <c r="S17" s="9">
        <f t="shared" si="2"/>
        <v>265.34999999999997</v>
      </c>
      <c r="T17" s="4" t="s">
        <v>84</v>
      </c>
      <c r="U17" s="10">
        <v>46246</v>
      </c>
      <c r="V17" s="10">
        <v>46258</v>
      </c>
      <c r="W17" s="4">
        <v>1</v>
      </c>
      <c r="X17" s="4">
        <v>5</v>
      </c>
      <c r="Y17" s="6" t="str">
        <f t="shared" si="3"/>
        <v>Reorder</v>
      </c>
    </row>
    <row r="18" spans="1:25" x14ac:dyDescent="0.35">
      <c r="A18" s="11" t="s">
        <v>94</v>
      </c>
      <c r="B18" s="11" t="s">
        <v>270</v>
      </c>
      <c r="C18" s="11" t="s">
        <v>81</v>
      </c>
      <c r="D18" s="11" t="s">
        <v>96</v>
      </c>
      <c r="E18" s="11" t="s">
        <v>97</v>
      </c>
      <c r="F18" s="11" t="s">
        <v>271</v>
      </c>
      <c r="G18" s="12">
        <v>354</v>
      </c>
      <c r="H18" s="12">
        <v>45</v>
      </c>
      <c r="I18" s="13">
        <f t="shared" si="0"/>
        <v>309</v>
      </c>
      <c r="J18" s="12">
        <v>126</v>
      </c>
      <c r="K18" s="12">
        <v>79</v>
      </c>
      <c r="L18" s="12">
        <v>14000</v>
      </c>
      <c r="M18" s="14">
        <f t="shared" si="1"/>
        <v>2.5285714285714286E-2</v>
      </c>
      <c r="N18" s="12">
        <v>229</v>
      </c>
      <c r="O18" s="12">
        <v>997</v>
      </c>
      <c r="P18" s="12">
        <v>1</v>
      </c>
      <c r="Q18" s="12">
        <v>7</v>
      </c>
      <c r="R18" s="15">
        <v>1.37</v>
      </c>
      <c r="S18" s="16">
        <f t="shared" si="2"/>
        <v>484.98</v>
      </c>
      <c r="T18" s="11" t="s">
        <v>99</v>
      </c>
      <c r="U18" s="17">
        <v>46250</v>
      </c>
      <c r="V18" s="17">
        <v>46257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272</v>
      </c>
      <c r="C19" s="4" t="s">
        <v>81</v>
      </c>
      <c r="D19" s="4" t="s">
        <v>102</v>
      </c>
      <c r="E19" s="4" t="s">
        <v>34</v>
      </c>
      <c r="F19" s="4" t="s">
        <v>273</v>
      </c>
      <c r="G19" s="5">
        <v>146</v>
      </c>
      <c r="H19" s="5">
        <v>25</v>
      </c>
      <c r="I19" s="6">
        <f t="shared" si="0"/>
        <v>121</v>
      </c>
      <c r="J19" s="5">
        <v>139</v>
      </c>
      <c r="K19" s="5">
        <v>68</v>
      </c>
      <c r="L19" s="5">
        <v>14000</v>
      </c>
      <c r="M19" s="7">
        <f t="shared" si="1"/>
        <v>1.0428571428571429E-2</v>
      </c>
      <c r="N19" s="5">
        <v>116</v>
      </c>
      <c r="O19" s="5">
        <v>515</v>
      </c>
      <c r="P19" s="5">
        <v>2</v>
      </c>
      <c r="Q19" s="5">
        <v>14</v>
      </c>
      <c r="R19" s="8">
        <v>1.8</v>
      </c>
      <c r="S19" s="9">
        <f t="shared" si="2"/>
        <v>262.8</v>
      </c>
      <c r="T19" s="4" t="s">
        <v>104</v>
      </c>
      <c r="U19" s="10">
        <v>46251</v>
      </c>
      <c r="V19" s="10">
        <v>46265</v>
      </c>
      <c r="W19" s="4">
        <v>8</v>
      </c>
      <c r="X19" s="4">
        <v>12</v>
      </c>
      <c r="Y19" s="6" t="str">
        <f t="shared" si="3"/>
        <v>Reorder</v>
      </c>
    </row>
    <row r="20" spans="1:25" x14ac:dyDescent="0.35">
      <c r="A20" s="11" t="s">
        <v>105</v>
      </c>
      <c r="B20" s="11" t="s">
        <v>274</v>
      </c>
      <c r="C20" s="11" t="s">
        <v>81</v>
      </c>
      <c r="D20" s="11" t="s">
        <v>107</v>
      </c>
      <c r="E20" s="11" t="s">
        <v>69</v>
      </c>
      <c r="F20" s="11" t="s">
        <v>275</v>
      </c>
      <c r="G20" s="12">
        <v>536</v>
      </c>
      <c r="H20" s="12">
        <v>50</v>
      </c>
      <c r="I20" s="13">
        <f t="shared" si="0"/>
        <v>486</v>
      </c>
      <c r="J20" s="12">
        <v>109</v>
      </c>
      <c r="K20" s="12">
        <v>61</v>
      </c>
      <c r="L20" s="12">
        <v>14000</v>
      </c>
      <c r="M20" s="14">
        <f t="shared" si="1"/>
        <v>3.8285714285714284E-2</v>
      </c>
      <c r="N20" s="12">
        <v>131</v>
      </c>
      <c r="O20" s="12">
        <v>640</v>
      </c>
      <c r="P20" s="12">
        <v>2</v>
      </c>
      <c r="Q20" s="12">
        <v>14</v>
      </c>
      <c r="R20" s="15">
        <v>2.19</v>
      </c>
      <c r="S20" s="16">
        <f t="shared" si="2"/>
        <v>1173.8399999999999</v>
      </c>
      <c r="T20" s="11" t="s">
        <v>104</v>
      </c>
      <c r="U20" s="17">
        <v>46250</v>
      </c>
      <c r="V20" s="17">
        <v>46264</v>
      </c>
      <c r="W20" s="11">
        <v>8</v>
      </c>
      <c r="X20" s="11">
        <v>12</v>
      </c>
      <c r="Y20" s="13" t="str">
        <f t="shared" si="3"/>
        <v>Healthy</v>
      </c>
    </row>
    <row r="21" spans="1:25" x14ac:dyDescent="0.35">
      <c r="A21" s="4" t="s">
        <v>109</v>
      </c>
      <c r="B21" s="4" t="s">
        <v>276</v>
      </c>
      <c r="C21" s="4" t="s">
        <v>81</v>
      </c>
      <c r="D21" s="4" t="s">
        <v>111</v>
      </c>
      <c r="E21" s="4" t="s">
        <v>112</v>
      </c>
      <c r="F21" s="4" t="s">
        <v>277</v>
      </c>
      <c r="G21" s="5">
        <v>210</v>
      </c>
      <c r="H21" s="5">
        <v>29</v>
      </c>
      <c r="I21" s="6">
        <f t="shared" si="0"/>
        <v>181</v>
      </c>
      <c r="J21" s="5">
        <v>216</v>
      </c>
      <c r="K21" s="5">
        <v>83</v>
      </c>
      <c r="L21" s="5">
        <v>14000</v>
      </c>
      <c r="M21" s="7">
        <f t="shared" si="1"/>
        <v>1.4999999999999999E-2</v>
      </c>
      <c r="N21" s="5">
        <v>140</v>
      </c>
      <c r="O21" s="5">
        <v>529</v>
      </c>
      <c r="P21" s="5">
        <v>3</v>
      </c>
      <c r="Q21" s="5">
        <v>18</v>
      </c>
      <c r="R21" s="8">
        <v>4.21</v>
      </c>
      <c r="S21" s="9">
        <f t="shared" si="2"/>
        <v>884.1</v>
      </c>
      <c r="T21" s="4" t="s">
        <v>104</v>
      </c>
      <c r="U21" s="10">
        <v>46244</v>
      </c>
      <c r="V21" s="10">
        <v>46262</v>
      </c>
      <c r="W21" s="4">
        <v>7</v>
      </c>
      <c r="X21" s="4">
        <v>10</v>
      </c>
      <c r="Y21" s="6" t="str">
        <f t="shared" si="3"/>
        <v>Reorder</v>
      </c>
    </row>
    <row r="22" spans="1:25" x14ac:dyDescent="0.35">
      <c r="A22" s="11" t="s">
        <v>114</v>
      </c>
      <c r="B22" s="11" t="s">
        <v>278</v>
      </c>
      <c r="C22" s="11" t="s">
        <v>81</v>
      </c>
      <c r="D22" s="11" t="s">
        <v>116</v>
      </c>
      <c r="E22" s="11" t="s">
        <v>34</v>
      </c>
      <c r="F22" s="11" t="s">
        <v>279</v>
      </c>
      <c r="G22" s="12">
        <v>542</v>
      </c>
      <c r="H22" s="12">
        <v>54</v>
      </c>
      <c r="I22" s="13">
        <f t="shared" si="0"/>
        <v>488</v>
      </c>
      <c r="J22" s="12">
        <v>96</v>
      </c>
      <c r="K22" s="12">
        <v>59</v>
      </c>
      <c r="L22" s="12">
        <v>14000</v>
      </c>
      <c r="M22" s="14">
        <f t="shared" si="1"/>
        <v>3.8714285714285715E-2</v>
      </c>
      <c r="N22" s="12">
        <v>155</v>
      </c>
      <c r="O22" s="12">
        <v>721</v>
      </c>
      <c r="P22" s="12">
        <v>2</v>
      </c>
      <c r="Q22" s="12">
        <v>60</v>
      </c>
      <c r="R22" s="15">
        <v>4.75</v>
      </c>
      <c r="S22" s="16">
        <f t="shared" si="2"/>
        <v>2574.5</v>
      </c>
      <c r="T22" s="11" t="s">
        <v>89</v>
      </c>
      <c r="U22" s="17">
        <v>46248</v>
      </c>
      <c r="V22" s="17">
        <v>46308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280</v>
      </c>
      <c r="C23" s="4" t="s">
        <v>81</v>
      </c>
      <c r="D23" s="4" t="s">
        <v>120</v>
      </c>
      <c r="E23" s="4" t="s">
        <v>34</v>
      </c>
      <c r="F23" s="4" t="s">
        <v>281</v>
      </c>
      <c r="G23" s="5">
        <v>484</v>
      </c>
      <c r="H23" s="5">
        <v>73</v>
      </c>
      <c r="I23" s="6">
        <f t="shared" si="0"/>
        <v>411</v>
      </c>
      <c r="J23" s="5">
        <v>99</v>
      </c>
      <c r="K23" s="5">
        <v>89</v>
      </c>
      <c r="L23" s="5">
        <v>14000</v>
      </c>
      <c r="M23" s="7">
        <f t="shared" si="1"/>
        <v>3.4571428571428572E-2</v>
      </c>
      <c r="N23" s="5">
        <v>89</v>
      </c>
      <c r="O23" s="5">
        <v>325</v>
      </c>
      <c r="P23" s="5">
        <v>2</v>
      </c>
      <c r="Q23" s="5">
        <v>12</v>
      </c>
      <c r="R23" s="8">
        <v>2.5</v>
      </c>
      <c r="S23" s="9">
        <f t="shared" si="2"/>
        <v>1210</v>
      </c>
      <c r="T23" s="4" t="s">
        <v>84</v>
      </c>
      <c r="U23" s="10">
        <v>46250</v>
      </c>
      <c r="V23" s="10">
        <v>46262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282</v>
      </c>
      <c r="C24" s="11" t="s">
        <v>32</v>
      </c>
      <c r="D24" s="11" t="s">
        <v>124</v>
      </c>
      <c r="E24" s="11" t="s">
        <v>69</v>
      </c>
      <c r="F24" s="11" t="s">
        <v>283</v>
      </c>
      <c r="G24" s="12">
        <v>215</v>
      </c>
      <c r="H24" s="12">
        <v>32</v>
      </c>
      <c r="I24" s="13">
        <f t="shared" si="0"/>
        <v>183</v>
      </c>
      <c r="J24" s="12">
        <v>90</v>
      </c>
      <c r="K24" s="12">
        <v>33</v>
      </c>
      <c r="L24" s="12">
        <v>14000</v>
      </c>
      <c r="M24" s="14">
        <f t="shared" si="1"/>
        <v>1.5357142857142857E-2</v>
      </c>
      <c r="N24" s="12">
        <v>101</v>
      </c>
      <c r="O24" s="12">
        <v>340</v>
      </c>
      <c r="P24" s="12">
        <v>5</v>
      </c>
      <c r="Q24" s="12">
        <v>10</v>
      </c>
      <c r="R24" s="15">
        <v>3.8</v>
      </c>
      <c r="S24" s="16">
        <f t="shared" si="2"/>
        <v>817</v>
      </c>
      <c r="T24" s="11" t="s">
        <v>41</v>
      </c>
      <c r="U24" s="17">
        <v>46248</v>
      </c>
      <c r="V24" s="17">
        <v>46258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284</v>
      </c>
      <c r="C25" s="4" t="s">
        <v>81</v>
      </c>
      <c r="D25" s="4" t="s">
        <v>128</v>
      </c>
      <c r="E25" s="4" t="s">
        <v>69</v>
      </c>
      <c r="F25" s="4" t="s">
        <v>285</v>
      </c>
      <c r="G25" s="5">
        <v>344</v>
      </c>
      <c r="H25" s="5">
        <v>34</v>
      </c>
      <c r="I25" s="6">
        <f t="shared" si="0"/>
        <v>310</v>
      </c>
      <c r="J25" s="5">
        <v>107</v>
      </c>
      <c r="K25" s="5">
        <v>32</v>
      </c>
      <c r="L25" s="5">
        <v>14000</v>
      </c>
      <c r="M25" s="7">
        <f t="shared" si="1"/>
        <v>2.457142857142857E-2</v>
      </c>
      <c r="N25" s="5">
        <v>257</v>
      </c>
      <c r="O25" s="5">
        <v>1044</v>
      </c>
      <c r="P25" s="5">
        <v>2</v>
      </c>
      <c r="Q25" s="5">
        <v>12</v>
      </c>
      <c r="R25" s="8">
        <v>1.74</v>
      </c>
      <c r="S25" s="9">
        <f t="shared" si="2"/>
        <v>598.55999999999995</v>
      </c>
      <c r="T25" s="4" t="s">
        <v>84</v>
      </c>
      <c r="U25" s="10">
        <v>46246</v>
      </c>
      <c r="V25" s="10">
        <v>46258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286</v>
      </c>
      <c r="C26" s="11" t="s">
        <v>81</v>
      </c>
      <c r="D26" s="11" t="s">
        <v>132</v>
      </c>
      <c r="E26" s="11" t="s">
        <v>34</v>
      </c>
      <c r="F26" s="11" t="s">
        <v>287</v>
      </c>
      <c r="G26" s="12">
        <v>605</v>
      </c>
      <c r="H26" s="12">
        <v>46</v>
      </c>
      <c r="I26" s="13">
        <f t="shared" si="0"/>
        <v>559</v>
      </c>
      <c r="J26" s="12">
        <v>116</v>
      </c>
      <c r="K26" s="12">
        <v>48</v>
      </c>
      <c r="L26" s="12">
        <v>14000</v>
      </c>
      <c r="M26" s="14">
        <f t="shared" si="1"/>
        <v>4.3214285714285712E-2</v>
      </c>
      <c r="N26" s="12">
        <v>214</v>
      </c>
      <c r="O26" s="12">
        <v>810</v>
      </c>
      <c r="P26" s="12">
        <v>3</v>
      </c>
      <c r="Q26" s="12">
        <v>40</v>
      </c>
      <c r="R26" s="15">
        <v>3.06</v>
      </c>
      <c r="S26" s="16">
        <f t="shared" si="2"/>
        <v>1851.3</v>
      </c>
      <c r="T26" s="11" t="s">
        <v>89</v>
      </c>
      <c r="U26" s="17">
        <v>46248</v>
      </c>
      <c r="V26" s="17">
        <v>46288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288</v>
      </c>
      <c r="C27" s="4" t="s">
        <v>32</v>
      </c>
      <c r="D27" s="4" t="s">
        <v>136</v>
      </c>
      <c r="E27" s="4" t="s">
        <v>112</v>
      </c>
      <c r="F27" s="4" t="s">
        <v>289</v>
      </c>
      <c r="G27" s="5">
        <v>438</v>
      </c>
      <c r="H27" s="5">
        <v>47</v>
      </c>
      <c r="I27" s="6">
        <f t="shared" si="0"/>
        <v>391</v>
      </c>
      <c r="J27" s="5">
        <v>175</v>
      </c>
      <c r="K27" s="5">
        <v>118</v>
      </c>
      <c r="L27" s="5">
        <v>14000</v>
      </c>
      <c r="M27" s="7">
        <f t="shared" si="1"/>
        <v>3.1285714285714285E-2</v>
      </c>
      <c r="N27" s="5">
        <v>217</v>
      </c>
      <c r="O27" s="5">
        <v>870</v>
      </c>
      <c r="P27" s="5">
        <v>5</v>
      </c>
      <c r="Q27" s="5">
        <v>28</v>
      </c>
      <c r="R27" s="8">
        <v>3.17</v>
      </c>
      <c r="S27" s="9">
        <f t="shared" si="2"/>
        <v>1388.46</v>
      </c>
      <c r="T27" s="4" t="s">
        <v>65</v>
      </c>
      <c r="U27" s="10">
        <v>46242</v>
      </c>
      <c r="V27" s="10">
        <v>46270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290</v>
      </c>
      <c r="C28" s="11" t="s">
        <v>32</v>
      </c>
      <c r="D28" s="11" t="s">
        <v>140</v>
      </c>
      <c r="E28" s="11" t="s">
        <v>54</v>
      </c>
      <c r="F28" s="11" t="s">
        <v>291</v>
      </c>
      <c r="G28" s="12">
        <v>489</v>
      </c>
      <c r="H28" s="12">
        <v>52</v>
      </c>
      <c r="I28" s="13">
        <f t="shared" si="0"/>
        <v>437</v>
      </c>
      <c r="J28" s="12">
        <v>119</v>
      </c>
      <c r="K28" s="12">
        <v>87</v>
      </c>
      <c r="L28" s="12">
        <v>14000</v>
      </c>
      <c r="M28" s="14">
        <f t="shared" si="1"/>
        <v>3.4928571428571427E-2</v>
      </c>
      <c r="N28" s="12">
        <v>231</v>
      </c>
      <c r="O28" s="12">
        <v>871</v>
      </c>
      <c r="P28" s="12">
        <v>1</v>
      </c>
      <c r="Q28" s="12">
        <v>6</v>
      </c>
      <c r="R28" s="15">
        <v>2.54</v>
      </c>
      <c r="S28" s="16">
        <f t="shared" si="2"/>
        <v>1242.06</v>
      </c>
      <c r="T28" s="11" t="s">
        <v>56</v>
      </c>
      <c r="U28" s="17">
        <v>46248</v>
      </c>
      <c r="V28" s="17">
        <v>46254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20" priority="2">
      <formula>Y5="Critical"</formula>
    </cfRule>
    <cfRule type="expression" dxfId="19" priority="3">
      <formula>Y5="Reorder"</formula>
    </cfRule>
    <cfRule type="expression" dxfId="18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292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293</v>
      </c>
      <c r="D3" s="1" t="s">
        <v>4</v>
      </c>
      <c r="E3" s="2">
        <v>24</v>
      </c>
      <c r="G3" s="1" t="s">
        <v>5</v>
      </c>
      <c r="H3" s="2">
        <v>13000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294</v>
      </c>
      <c r="C5" s="4" t="s">
        <v>32</v>
      </c>
      <c r="D5" s="4" t="s">
        <v>33</v>
      </c>
      <c r="E5" s="4" t="s">
        <v>34</v>
      </c>
      <c r="F5" s="4" t="s">
        <v>295</v>
      </c>
      <c r="G5" s="5">
        <v>132</v>
      </c>
      <c r="H5" s="5">
        <v>43</v>
      </c>
      <c r="I5" s="6">
        <f t="shared" ref="I5:I28" si="0">G5-H5</f>
        <v>89</v>
      </c>
      <c r="J5" s="5">
        <v>126</v>
      </c>
      <c r="K5" s="5">
        <v>82</v>
      </c>
      <c r="L5" s="5">
        <v>13000</v>
      </c>
      <c r="M5" s="7">
        <f t="shared" ref="M5:M28" si="1">G5/L5</f>
        <v>1.0153846153846154E-2</v>
      </c>
      <c r="N5" s="5">
        <v>261</v>
      </c>
      <c r="O5" s="5">
        <v>1074</v>
      </c>
      <c r="P5" s="5">
        <v>2</v>
      </c>
      <c r="Q5" s="5">
        <v>45</v>
      </c>
      <c r="R5" s="8">
        <v>2.16</v>
      </c>
      <c r="S5" s="9">
        <f t="shared" ref="S5:S28" si="2">G5*R5</f>
        <v>285.12</v>
      </c>
      <c r="T5" s="4" t="s">
        <v>36</v>
      </c>
      <c r="U5" s="10">
        <v>46251</v>
      </c>
      <c r="V5" s="10">
        <v>46296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Reorder</v>
      </c>
    </row>
    <row r="6" spans="1:25" x14ac:dyDescent="0.35">
      <c r="A6" s="11" t="s">
        <v>37</v>
      </c>
      <c r="B6" s="11" t="s">
        <v>296</v>
      </c>
      <c r="C6" s="11" t="s">
        <v>32</v>
      </c>
      <c r="D6" s="11" t="s">
        <v>39</v>
      </c>
      <c r="E6" s="11" t="s">
        <v>34</v>
      </c>
      <c r="F6" s="11" t="s">
        <v>297</v>
      </c>
      <c r="G6" s="12">
        <v>552</v>
      </c>
      <c r="H6" s="12">
        <v>73</v>
      </c>
      <c r="I6" s="13">
        <f t="shared" si="0"/>
        <v>479</v>
      </c>
      <c r="J6" s="12">
        <v>183</v>
      </c>
      <c r="K6" s="12">
        <v>76</v>
      </c>
      <c r="L6" s="12">
        <v>13000</v>
      </c>
      <c r="M6" s="14">
        <f t="shared" si="1"/>
        <v>4.246153846153846E-2</v>
      </c>
      <c r="N6" s="12">
        <v>262</v>
      </c>
      <c r="O6" s="12">
        <v>1058</v>
      </c>
      <c r="P6" s="12">
        <v>5</v>
      </c>
      <c r="Q6" s="12">
        <v>18</v>
      </c>
      <c r="R6" s="15">
        <v>4.13</v>
      </c>
      <c r="S6" s="16">
        <f t="shared" si="2"/>
        <v>2279.7599999999998</v>
      </c>
      <c r="T6" s="11" t="s">
        <v>41</v>
      </c>
      <c r="U6" s="17">
        <v>46247</v>
      </c>
      <c r="V6" s="17">
        <v>46265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298</v>
      </c>
      <c r="C7" s="4" t="s">
        <v>32</v>
      </c>
      <c r="D7" s="4" t="s">
        <v>44</v>
      </c>
      <c r="E7" s="4" t="s">
        <v>34</v>
      </c>
      <c r="F7" s="4" t="s">
        <v>299</v>
      </c>
      <c r="G7" s="5">
        <v>121</v>
      </c>
      <c r="H7" s="5">
        <v>34</v>
      </c>
      <c r="I7" s="6">
        <f t="shared" si="0"/>
        <v>87</v>
      </c>
      <c r="J7" s="5">
        <v>214</v>
      </c>
      <c r="K7" s="5">
        <v>117</v>
      </c>
      <c r="L7" s="5">
        <v>13000</v>
      </c>
      <c r="M7" s="7">
        <f t="shared" si="1"/>
        <v>9.3076923076923085E-3</v>
      </c>
      <c r="N7" s="5">
        <v>96</v>
      </c>
      <c r="O7" s="5">
        <v>496</v>
      </c>
      <c r="P7" s="5">
        <v>3</v>
      </c>
      <c r="Q7" s="5">
        <v>38</v>
      </c>
      <c r="R7" s="8">
        <v>3.14</v>
      </c>
      <c r="S7" s="9">
        <f t="shared" si="2"/>
        <v>379.94</v>
      </c>
      <c r="T7" s="4" t="s">
        <v>46</v>
      </c>
      <c r="U7" s="10">
        <v>46244</v>
      </c>
      <c r="V7" s="10">
        <v>46282</v>
      </c>
      <c r="W7" s="4">
        <v>4</v>
      </c>
      <c r="X7" s="4">
        <v>8</v>
      </c>
      <c r="Y7" s="6" t="str">
        <f t="shared" si="3"/>
        <v>Critical</v>
      </c>
    </row>
    <row r="8" spans="1:25" x14ac:dyDescent="0.35">
      <c r="A8" s="11" t="s">
        <v>47</v>
      </c>
      <c r="B8" s="11" t="s">
        <v>300</v>
      </c>
      <c r="C8" s="11" t="s">
        <v>32</v>
      </c>
      <c r="D8" s="11" t="s">
        <v>49</v>
      </c>
      <c r="E8" s="11" t="s">
        <v>34</v>
      </c>
      <c r="F8" s="11" t="s">
        <v>301</v>
      </c>
      <c r="G8" s="12">
        <v>217</v>
      </c>
      <c r="H8" s="12">
        <v>0</v>
      </c>
      <c r="I8" s="13">
        <f t="shared" si="0"/>
        <v>217</v>
      </c>
      <c r="J8" s="12">
        <v>80</v>
      </c>
      <c r="K8" s="12">
        <v>50</v>
      </c>
      <c r="L8" s="12">
        <v>13000</v>
      </c>
      <c r="M8" s="14">
        <f t="shared" si="1"/>
        <v>1.6692307692307694E-2</v>
      </c>
      <c r="N8" s="12">
        <v>141</v>
      </c>
      <c r="O8" s="12">
        <v>632</v>
      </c>
      <c r="P8" s="12">
        <v>3</v>
      </c>
      <c r="Q8" s="12">
        <v>35</v>
      </c>
      <c r="R8" s="15">
        <v>3.91</v>
      </c>
      <c r="S8" s="16">
        <f t="shared" si="2"/>
        <v>848.47</v>
      </c>
      <c r="T8" s="11" t="s">
        <v>36</v>
      </c>
      <c r="U8" s="17">
        <v>46251</v>
      </c>
      <c r="V8" s="17">
        <v>46286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302</v>
      </c>
      <c r="C9" s="4" t="s">
        <v>32</v>
      </c>
      <c r="D9" s="4" t="s">
        <v>53</v>
      </c>
      <c r="E9" s="4" t="s">
        <v>54</v>
      </c>
      <c r="F9" s="4" t="s">
        <v>303</v>
      </c>
      <c r="G9" s="5">
        <v>436</v>
      </c>
      <c r="H9" s="5">
        <v>70</v>
      </c>
      <c r="I9" s="6">
        <f t="shared" si="0"/>
        <v>366</v>
      </c>
      <c r="J9" s="5">
        <v>159</v>
      </c>
      <c r="K9" s="5">
        <v>142</v>
      </c>
      <c r="L9" s="5">
        <v>13000</v>
      </c>
      <c r="M9" s="7">
        <f t="shared" si="1"/>
        <v>3.3538461538461538E-2</v>
      </c>
      <c r="N9" s="5">
        <v>128</v>
      </c>
      <c r="O9" s="5">
        <v>618</v>
      </c>
      <c r="P9" s="5">
        <v>1</v>
      </c>
      <c r="Q9" s="5">
        <v>7</v>
      </c>
      <c r="R9" s="8">
        <v>1.57</v>
      </c>
      <c r="S9" s="9">
        <f t="shared" si="2"/>
        <v>684.52</v>
      </c>
      <c r="T9" s="4" t="s">
        <v>56</v>
      </c>
      <c r="U9" s="10">
        <v>46250</v>
      </c>
      <c r="V9" s="10">
        <v>46257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304</v>
      </c>
      <c r="C10" s="11" t="s">
        <v>32</v>
      </c>
      <c r="D10" s="11" t="s">
        <v>59</v>
      </c>
      <c r="E10" s="11" t="s">
        <v>54</v>
      </c>
      <c r="F10" s="11" t="s">
        <v>305</v>
      </c>
      <c r="G10" s="12">
        <v>154</v>
      </c>
      <c r="H10" s="12">
        <v>6</v>
      </c>
      <c r="I10" s="13">
        <f t="shared" si="0"/>
        <v>148</v>
      </c>
      <c r="J10" s="12">
        <v>133</v>
      </c>
      <c r="K10" s="12">
        <v>114</v>
      </c>
      <c r="L10" s="12">
        <v>13000</v>
      </c>
      <c r="M10" s="14">
        <f t="shared" si="1"/>
        <v>1.1846153846153847E-2</v>
      </c>
      <c r="N10" s="12">
        <v>113</v>
      </c>
      <c r="O10" s="12">
        <v>480</v>
      </c>
      <c r="P10" s="12">
        <v>2</v>
      </c>
      <c r="Q10" s="12">
        <v>14</v>
      </c>
      <c r="R10" s="15">
        <v>2.2999999999999998</v>
      </c>
      <c r="S10" s="16">
        <f t="shared" si="2"/>
        <v>354.2</v>
      </c>
      <c r="T10" s="11" t="s">
        <v>56</v>
      </c>
      <c r="U10" s="17">
        <v>46246</v>
      </c>
      <c r="V10" s="17">
        <v>46260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306</v>
      </c>
      <c r="C11" s="4" t="s">
        <v>32</v>
      </c>
      <c r="D11" s="4" t="s">
        <v>63</v>
      </c>
      <c r="E11" s="4" t="s">
        <v>54</v>
      </c>
      <c r="F11" s="4" t="s">
        <v>307</v>
      </c>
      <c r="G11" s="5">
        <v>320</v>
      </c>
      <c r="H11" s="5">
        <v>76</v>
      </c>
      <c r="I11" s="6">
        <f t="shared" si="0"/>
        <v>244</v>
      </c>
      <c r="J11" s="5">
        <v>178</v>
      </c>
      <c r="K11" s="5">
        <v>51</v>
      </c>
      <c r="L11" s="5">
        <v>13000</v>
      </c>
      <c r="M11" s="7">
        <f t="shared" si="1"/>
        <v>2.4615384615384615E-2</v>
      </c>
      <c r="N11" s="5">
        <v>295</v>
      </c>
      <c r="O11" s="5">
        <v>1185</v>
      </c>
      <c r="P11" s="5">
        <v>3</v>
      </c>
      <c r="Q11" s="5">
        <v>21</v>
      </c>
      <c r="R11" s="8">
        <v>3.37</v>
      </c>
      <c r="S11" s="9">
        <f t="shared" si="2"/>
        <v>1078.4000000000001</v>
      </c>
      <c r="T11" s="4" t="s">
        <v>65</v>
      </c>
      <c r="U11" s="10">
        <v>46249</v>
      </c>
      <c r="V11" s="10">
        <v>46270</v>
      </c>
      <c r="W11" s="4">
        <v>2</v>
      </c>
      <c r="X11" s="4">
        <v>7</v>
      </c>
      <c r="Y11" s="6" t="str">
        <f t="shared" si="3"/>
        <v>Below Forecast</v>
      </c>
    </row>
    <row r="12" spans="1:25" x14ac:dyDescent="0.35">
      <c r="A12" s="11" t="s">
        <v>66</v>
      </c>
      <c r="B12" s="11" t="s">
        <v>308</v>
      </c>
      <c r="C12" s="11" t="s">
        <v>32</v>
      </c>
      <c r="D12" s="11" t="s">
        <v>68</v>
      </c>
      <c r="E12" s="11" t="s">
        <v>69</v>
      </c>
      <c r="F12" s="11" t="s">
        <v>309</v>
      </c>
      <c r="G12" s="12">
        <v>395</v>
      </c>
      <c r="H12" s="12">
        <v>71</v>
      </c>
      <c r="I12" s="13">
        <f t="shared" si="0"/>
        <v>324</v>
      </c>
      <c r="J12" s="12">
        <v>154</v>
      </c>
      <c r="K12" s="12">
        <v>111</v>
      </c>
      <c r="L12" s="12">
        <v>13000</v>
      </c>
      <c r="M12" s="14">
        <f t="shared" si="1"/>
        <v>3.0384615384615385E-2</v>
      </c>
      <c r="N12" s="12">
        <v>188</v>
      </c>
      <c r="O12" s="12">
        <v>824</v>
      </c>
      <c r="P12" s="12">
        <v>5</v>
      </c>
      <c r="Q12" s="12">
        <v>14</v>
      </c>
      <c r="R12" s="15">
        <v>3.54</v>
      </c>
      <c r="S12" s="16">
        <f t="shared" si="2"/>
        <v>1398.3</v>
      </c>
      <c r="T12" s="11" t="s">
        <v>41</v>
      </c>
      <c r="U12" s="17">
        <v>46246</v>
      </c>
      <c r="V12" s="17">
        <v>46260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310</v>
      </c>
      <c r="C13" s="4" t="s">
        <v>32</v>
      </c>
      <c r="D13" s="4" t="s">
        <v>73</v>
      </c>
      <c r="E13" s="4" t="s">
        <v>69</v>
      </c>
      <c r="F13" s="4" t="s">
        <v>311</v>
      </c>
      <c r="G13" s="5">
        <v>210</v>
      </c>
      <c r="H13" s="5">
        <v>1</v>
      </c>
      <c r="I13" s="6">
        <f t="shared" si="0"/>
        <v>209</v>
      </c>
      <c r="J13" s="5">
        <v>188</v>
      </c>
      <c r="K13" s="5">
        <v>33</v>
      </c>
      <c r="L13" s="5">
        <v>13000</v>
      </c>
      <c r="M13" s="7">
        <f t="shared" si="1"/>
        <v>1.6153846153846154E-2</v>
      </c>
      <c r="N13" s="5">
        <v>291</v>
      </c>
      <c r="O13" s="5">
        <v>1123</v>
      </c>
      <c r="P13" s="5">
        <v>6</v>
      </c>
      <c r="Q13" s="5">
        <v>18</v>
      </c>
      <c r="R13" s="8">
        <v>3.45</v>
      </c>
      <c r="S13" s="9">
        <f t="shared" si="2"/>
        <v>724.5</v>
      </c>
      <c r="T13" s="4" t="s">
        <v>41</v>
      </c>
      <c r="U13" s="10">
        <v>46247</v>
      </c>
      <c r="V13" s="10">
        <v>46265</v>
      </c>
      <c r="W13" s="4">
        <v>8</v>
      </c>
      <c r="X13" s="4">
        <v>13</v>
      </c>
      <c r="Y13" s="6" t="str">
        <f t="shared" si="3"/>
        <v>Below Forecast</v>
      </c>
    </row>
    <row r="14" spans="1:25" x14ac:dyDescent="0.35">
      <c r="A14" s="11" t="s">
        <v>75</v>
      </c>
      <c r="B14" s="11" t="s">
        <v>312</v>
      </c>
      <c r="C14" s="11" t="s">
        <v>32</v>
      </c>
      <c r="D14" s="11" t="s">
        <v>77</v>
      </c>
      <c r="E14" s="11" t="s">
        <v>34</v>
      </c>
      <c r="F14" s="11" t="s">
        <v>313</v>
      </c>
      <c r="G14" s="12">
        <v>536</v>
      </c>
      <c r="H14" s="12">
        <v>8</v>
      </c>
      <c r="I14" s="13">
        <f t="shared" si="0"/>
        <v>528</v>
      </c>
      <c r="J14" s="12">
        <v>100</v>
      </c>
      <c r="K14" s="12">
        <v>45</v>
      </c>
      <c r="L14" s="12">
        <v>13000</v>
      </c>
      <c r="M14" s="14">
        <f t="shared" si="1"/>
        <v>4.1230769230769231E-2</v>
      </c>
      <c r="N14" s="12">
        <v>176</v>
      </c>
      <c r="O14" s="12">
        <v>636</v>
      </c>
      <c r="P14" s="12">
        <v>3</v>
      </c>
      <c r="Q14" s="12">
        <v>42</v>
      </c>
      <c r="R14" s="15">
        <v>1.52</v>
      </c>
      <c r="S14" s="16">
        <f t="shared" si="2"/>
        <v>814.72</v>
      </c>
      <c r="T14" s="11" t="s">
        <v>46</v>
      </c>
      <c r="U14" s="17">
        <v>46249</v>
      </c>
      <c r="V14" s="17">
        <v>46291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314</v>
      </c>
      <c r="C15" s="4" t="s">
        <v>81</v>
      </c>
      <c r="D15" s="4" t="s">
        <v>82</v>
      </c>
      <c r="E15" s="4" t="s">
        <v>34</v>
      </c>
      <c r="F15" s="4" t="s">
        <v>315</v>
      </c>
      <c r="G15" s="5">
        <v>356</v>
      </c>
      <c r="H15" s="5">
        <v>31</v>
      </c>
      <c r="I15" s="6">
        <f t="shared" si="0"/>
        <v>325</v>
      </c>
      <c r="J15" s="5">
        <v>154</v>
      </c>
      <c r="K15" s="5">
        <v>52</v>
      </c>
      <c r="L15" s="5">
        <v>13000</v>
      </c>
      <c r="M15" s="7">
        <f t="shared" si="1"/>
        <v>2.7384615384615386E-2</v>
      </c>
      <c r="N15" s="5">
        <v>252</v>
      </c>
      <c r="O15" s="5">
        <v>1085</v>
      </c>
      <c r="P15" s="5">
        <v>2</v>
      </c>
      <c r="Q15" s="5">
        <v>75</v>
      </c>
      <c r="R15" s="8">
        <v>3.56</v>
      </c>
      <c r="S15" s="9">
        <f t="shared" si="2"/>
        <v>1267.3600000000001</v>
      </c>
      <c r="T15" s="4" t="s">
        <v>84</v>
      </c>
      <c r="U15" s="10">
        <v>46250</v>
      </c>
      <c r="V15" s="10">
        <v>46325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316</v>
      </c>
      <c r="C16" s="11" t="s">
        <v>81</v>
      </c>
      <c r="D16" s="11" t="s">
        <v>87</v>
      </c>
      <c r="E16" s="11" t="s">
        <v>34</v>
      </c>
      <c r="F16" s="11" t="s">
        <v>317</v>
      </c>
      <c r="G16" s="12">
        <v>624</v>
      </c>
      <c r="H16" s="12">
        <v>20</v>
      </c>
      <c r="I16" s="13">
        <f t="shared" si="0"/>
        <v>604</v>
      </c>
      <c r="J16" s="12">
        <v>166</v>
      </c>
      <c r="K16" s="12">
        <v>98</v>
      </c>
      <c r="L16" s="12">
        <v>13000</v>
      </c>
      <c r="M16" s="14">
        <f t="shared" si="1"/>
        <v>4.8000000000000001E-2</v>
      </c>
      <c r="N16" s="12">
        <v>250</v>
      </c>
      <c r="O16" s="12">
        <v>1076</v>
      </c>
      <c r="P16" s="12">
        <v>2</v>
      </c>
      <c r="Q16" s="12">
        <v>35</v>
      </c>
      <c r="R16" s="15">
        <v>4.63</v>
      </c>
      <c r="S16" s="16">
        <f t="shared" si="2"/>
        <v>2889.12</v>
      </c>
      <c r="T16" s="11" t="s">
        <v>89</v>
      </c>
      <c r="U16" s="17">
        <v>46244</v>
      </c>
      <c r="V16" s="17">
        <v>46279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318</v>
      </c>
      <c r="C17" s="4" t="s">
        <v>81</v>
      </c>
      <c r="D17" s="4" t="s">
        <v>92</v>
      </c>
      <c r="E17" s="4" t="s">
        <v>69</v>
      </c>
      <c r="F17" s="4" t="s">
        <v>319</v>
      </c>
      <c r="G17" s="5">
        <v>411</v>
      </c>
      <c r="H17" s="5">
        <v>62</v>
      </c>
      <c r="I17" s="6">
        <f t="shared" si="0"/>
        <v>349</v>
      </c>
      <c r="J17" s="5">
        <v>161</v>
      </c>
      <c r="K17" s="5">
        <v>139</v>
      </c>
      <c r="L17" s="5">
        <v>13000</v>
      </c>
      <c r="M17" s="7">
        <f t="shared" si="1"/>
        <v>3.1615384615384615E-2</v>
      </c>
      <c r="N17" s="5">
        <v>238</v>
      </c>
      <c r="O17" s="5">
        <v>973</v>
      </c>
      <c r="P17" s="5">
        <v>2</v>
      </c>
      <c r="Q17" s="5">
        <v>12</v>
      </c>
      <c r="R17" s="8">
        <v>4.6399999999999997</v>
      </c>
      <c r="S17" s="9">
        <f t="shared" si="2"/>
        <v>1907.04</v>
      </c>
      <c r="T17" s="4" t="s">
        <v>84</v>
      </c>
      <c r="U17" s="10">
        <v>46245</v>
      </c>
      <c r="V17" s="10">
        <v>46257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320</v>
      </c>
      <c r="C18" s="11" t="s">
        <v>81</v>
      </c>
      <c r="D18" s="11" t="s">
        <v>96</v>
      </c>
      <c r="E18" s="11" t="s">
        <v>97</v>
      </c>
      <c r="F18" s="11" t="s">
        <v>321</v>
      </c>
      <c r="G18" s="12">
        <v>335</v>
      </c>
      <c r="H18" s="12">
        <v>80</v>
      </c>
      <c r="I18" s="13">
        <f t="shared" si="0"/>
        <v>255</v>
      </c>
      <c r="J18" s="12">
        <v>212</v>
      </c>
      <c r="K18" s="12">
        <v>104</v>
      </c>
      <c r="L18" s="12">
        <v>13000</v>
      </c>
      <c r="M18" s="14">
        <f t="shared" si="1"/>
        <v>2.576923076923077E-2</v>
      </c>
      <c r="N18" s="12">
        <v>103</v>
      </c>
      <c r="O18" s="12">
        <v>513</v>
      </c>
      <c r="P18" s="12">
        <v>1</v>
      </c>
      <c r="Q18" s="12">
        <v>7</v>
      </c>
      <c r="R18" s="15">
        <v>2.4500000000000002</v>
      </c>
      <c r="S18" s="16">
        <f t="shared" si="2"/>
        <v>820.75000000000011</v>
      </c>
      <c r="T18" s="11" t="s">
        <v>99</v>
      </c>
      <c r="U18" s="17">
        <v>46249</v>
      </c>
      <c r="V18" s="17">
        <v>46256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322</v>
      </c>
      <c r="C19" s="4" t="s">
        <v>81</v>
      </c>
      <c r="D19" s="4" t="s">
        <v>102</v>
      </c>
      <c r="E19" s="4" t="s">
        <v>34</v>
      </c>
      <c r="F19" s="4" t="s">
        <v>323</v>
      </c>
      <c r="G19" s="5">
        <v>451</v>
      </c>
      <c r="H19" s="5">
        <v>30</v>
      </c>
      <c r="I19" s="6">
        <f t="shared" si="0"/>
        <v>421</v>
      </c>
      <c r="J19" s="5">
        <v>108</v>
      </c>
      <c r="K19" s="5">
        <v>40</v>
      </c>
      <c r="L19" s="5">
        <v>13000</v>
      </c>
      <c r="M19" s="7">
        <f t="shared" si="1"/>
        <v>3.4692307692307689E-2</v>
      </c>
      <c r="N19" s="5">
        <v>123</v>
      </c>
      <c r="O19" s="5">
        <v>573</v>
      </c>
      <c r="P19" s="5">
        <v>2</v>
      </c>
      <c r="Q19" s="5">
        <v>14</v>
      </c>
      <c r="R19" s="8">
        <v>1.46</v>
      </c>
      <c r="S19" s="9">
        <f t="shared" si="2"/>
        <v>658.46</v>
      </c>
      <c r="T19" s="4" t="s">
        <v>104</v>
      </c>
      <c r="U19" s="10">
        <v>46245</v>
      </c>
      <c r="V19" s="10">
        <v>46259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324</v>
      </c>
      <c r="C20" s="11" t="s">
        <v>81</v>
      </c>
      <c r="D20" s="11" t="s">
        <v>107</v>
      </c>
      <c r="E20" s="11" t="s">
        <v>69</v>
      </c>
      <c r="F20" s="11" t="s">
        <v>325</v>
      </c>
      <c r="G20" s="12">
        <v>226</v>
      </c>
      <c r="H20" s="12">
        <v>8</v>
      </c>
      <c r="I20" s="13">
        <f t="shared" si="0"/>
        <v>218</v>
      </c>
      <c r="J20" s="12">
        <v>130</v>
      </c>
      <c r="K20" s="12">
        <v>53</v>
      </c>
      <c r="L20" s="12">
        <v>13000</v>
      </c>
      <c r="M20" s="14">
        <f t="shared" si="1"/>
        <v>1.7384615384615384E-2</v>
      </c>
      <c r="N20" s="12">
        <v>237</v>
      </c>
      <c r="O20" s="12">
        <v>1054</v>
      </c>
      <c r="P20" s="12">
        <v>2</v>
      </c>
      <c r="Q20" s="12">
        <v>14</v>
      </c>
      <c r="R20" s="15">
        <v>3.22</v>
      </c>
      <c r="S20" s="16">
        <f t="shared" si="2"/>
        <v>727.72</v>
      </c>
      <c r="T20" s="11" t="s">
        <v>104</v>
      </c>
      <c r="U20" s="17">
        <v>46245</v>
      </c>
      <c r="V20" s="17">
        <v>46259</v>
      </c>
      <c r="W20" s="11">
        <v>8</v>
      </c>
      <c r="X20" s="11">
        <v>12</v>
      </c>
      <c r="Y20" s="13" t="str">
        <f t="shared" si="3"/>
        <v>Below Forecast</v>
      </c>
    </row>
    <row r="21" spans="1:25" x14ac:dyDescent="0.35">
      <c r="A21" s="4" t="s">
        <v>109</v>
      </c>
      <c r="B21" s="4" t="s">
        <v>326</v>
      </c>
      <c r="C21" s="4" t="s">
        <v>81</v>
      </c>
      <c r="D21" s="4" t="s">
        <v>111</v>
      </c>
      <c r="E21" s="4" t="s">
        <v>112</v>
      </c>
      <c r="F21" s="4" t="s">
        <v>327</v>
      </c>
      <c r="G21" s="5">
        <v>604</v>
      </c>
      <c r="H21" s="5">
        <v>50</v>
      </c>
      <c r="I21" s="6">
        <f t="shared" si="0"/>
        <v>554</v>
      </c>
      <c r="J21" s="5">
        <v>114</v>
      </c>
      <c r="K21" s="5">
        <v>99</v>
      </c>
      <c r="L21" s="5">
        <v>13000</v>
      </c>
      <c r="M21" s="7">
        <f t="shared" si="1"/>
        <v>4.6461538461538464E-2</v>
      </c>
      <c r="N21" s="5">
        <v>238</v>
      </c>
      <c r="O21" s="5">
        <v>1000</v>
      </c>
      <c r="P21" s="5">
        <v>3</v>
      </c>
      <c r="Q21" s="5">
        <v>18</v>
      </c>
      <c r="R21" s="8">
        <v>3.67</v>
      </c>
      <c r="S21" s="9">
        <f t="shared" si="2"/>
        <v>2216.6799999999998</v>
      </c>
      <c r="T21" s="4" t="s">
        <v>104</v>
      </c>
      <c r="U21" s="10">
        <v>46251</v>
      </c>
      <c r="V21" s="10">
        <v>46269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328</v>
      </c>
      <c r="C22" s="11" t="s">
        <v>81</v>
      </c>
      <c r="D22" s="11" t="s">
        <v>116</v>
      </c>
      <c r="E22" s="11" t="s">
        <v>34</v>
      </c>
      <c r="F22" s="11" t="s">
        <v>329</v>
      </c>
      <c r="G22" s="12">
        <v>166</v>
      </c>
      <c r="H22" s="12">
        <v>33</v>
      </c>
      <c r="I22" s="13">
        <f t="shared" si="0"/>
        <v>133</v>
      </c>
      <c r="J22" s="12">
        <v>102</v>
      </c>
      <c r="K22" s="12">
        <v>51</v>
      </c>
      <c r="L22" s="12">
        <v>13000</v>
      </c>
      <c r="M22" s="14">
        <f t="shared" si="1"/>
        <v>1.2769230769230769E-2</v>
      </c>
      <c r="N22" s="12">
        <v>99</v>
      </c>
      <c r="O22" s="12">
        <v>471</v>
      </c>
      <c r="P22" s="12">
        <v>2</v>
      </c>
      <c r="Q22" s="12">
        <v>60</v>
      </c>
      <c r="R22" s="15">
        <v>2.57</v>
      </c>
      <c r="S22" s="16">
        <f t="shared" si="2"/>
        <v>426.61999999999995</v>
      </c>
      <c r="T22" s="11" t="s">
        <v>89</v>
      </c>
      <c r="U22" s="17">
        <v>46245</v>
      </c>
      <c r="V22" s="17">
        <v>46305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330</v>
      </c>
      <c r="C23" s="4" t="s">
        <v>81</v>
      </c>
      <c r="D23" s="4" t="s">
        <v>120</v>
      </c>
      <c r="E23" s="4" t="s">
        <v>34</v>
      </c>
      <c r="F23" s="4" t="s">
        <v>331</v>
      </c>
      <c r="G23" s="5">
        <v>398</v>
      </c>
      <c r="H23" s="5">
        <v>40</v>
      </c>
      <c r="I23" s="6">
        <f t="shared" si="0"/>
        <v>358</v>
      </c>
      <c r="J23" s="5">
        <v>142</v>
      </c>
      <c r="K23" s="5">
        <v>72</v>
      </c>
      <c r="L23" s="5">
        <v>13000</v>
      </c>
      <c r="M23" s="7">
        <f t="shared" si="1"/>
        <v>3.0615384615384614E-2</v>
      </c>
      <c r="N23" s="5">
        <v>270</v>
      </c>
      <c r="O23" s="5">
        <v>1191</v>
      </c>
      <c r="P23" s="5">
        <v>2</v>
      </c>
      <c r="Q23" s="5">
        <v>12</v>
      </c>
      <c r="R23" s="8">
        <v>2.4</v>
      </c>
      <c r="S23" s="9">
        <f t="shared" si="2"/>
        <v>955.19999999999993</v>
      </c>
      <c r="T23" s="4" t="s">
        <v>84</v>
      </c>
      <c r="U23" s="10">
        <v>46251</v>
      </c>
      <c r="V23" s="10">
        <v>46263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332</v>
      </c>
      <c r="C24" s="11" t="s">
        <v>32</v>
      </c>
      <c r="D24" s="11" t="s">
        <v>124</v>
      </c>
      <c r="E24" s="11" t="s">
        <v>69</v>
      </c>
      <c r="F24" s="11" t="s">
        <v>333</v>
      </c>
      <c r="G24" s="12">
        <v>360</v>
      </c>
      <c r="H24" s="12">
        <v>75</v>
      </c>
      <c r="I24" s="13">
        <f t="shared" si="0"/>
        <v>285</v>
      </c>
      <c r="J24" s="12">
        <v>184</v>
      </c>
      <c r="K24" s="12">
        <v>118</v>
      </c>
      <c r="L24" s="12">
        <v>13000</v>
      </c>
      <c r="M24" s="14">
        <f t="shared" si="1"/>
        <v>2.7692307692307693E-2</v>
      </c>
      <c r="N24" s="12">
        <v>234</v>
      </c>
      <c r="O24" s="12">
        <v>964</v>
      </c>
      <c r="P24" s="12">
        <v>5</v>
      </c>
      <c r="Q24" s="12">
        <v>10</v>
      </c>
      <c r="R24" s="15">
        <v>2.0699999999999998</v>
      </c>
      <c r="S24" s="16">
        <f t="shared" si="2"/>
        <v>745.19999999999993</v>
      </c>
      <c r="T24" s="11" t="s">
        <v>41</v>
      </c>
      <c r="U24" s="17">
        <v>46251</v>
      </c>
      <c r="V24" s="17">
        <v>46261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334</v>
      </c>
      <c r="C25" s="4" t="s">
        <v>81</v>
      </c>
      <c r="D25" s="4" t="s">
        <v>128</v>
      </c>
      <c r="E25" s="4" t="s">
        <v>69</v>
      </c>
      <c r="F25" s="4" t="s">
        <v>335</v>
      </c>
      <c r="G25" s="5">
        <v>631</v>
      </c>
      <c r="H25" s="5">
        <v>38</v>
      </c>
      <c r="I25" s="6">
        <f t="shared" si="0"/>
        <v>593</v>
      </c>
      <c r="J25" s="5">
        <v>198</v>
      </c>
      <c r="K25" s="5">
        <v>111</v>
      </c>
      <c r="L25" s="5">
        <v>13000</v>
      </c>
      <c r="M25" s="7">
        <f t="shared" si="1"/>
        <v>4.8538461538461537E-2</v>
      </c>
      <c r="N25" s="5">
        <v>298</v>
      </c>
      <c r="O25" s="5">
        <v>1283</v>
      </c>
      <c r="P25" s="5">
        <v>2</v>
      </c>
      <c r="Q25" s="5">
        <v>12</v>
      </c>
      <c r="R25" s="8">
        <v>2.86</v>
      </c>
      <c r="S25" s="9">
        <f t="shared" si="2"/>
        <v>1804.6599999999999</v>
      </c>
      <c r="T25" s="4" t="s">
        <v>84</v>
      </c>
      <c r="U25" s="10">
        <v>46251</v>
      </c>
      <c r="V25" s="10">
        <v>46263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336</v>
      </c>
      <c r="C26" s="11" t="s">
        <v>81</v>
      </c>
      <c r="D26" s="11" t="s">
        <v>132</v>
      </c>
      <c r="E26" s="11" t="s">
        <v>34</v>
      </c>
      <c r="F26" s="11" t="s">
        <v>337</v>
      </c>
      <c r="G26" s="12">
        <v>526</v>
      </c>
      <c r="H26" s="12">
        <v>37</v>
      </c>
      <c r="I26" s="13">
        <f t="shared" si="0"/>
        <v>489</v>
      </c>
      <c r="J26" s="12">
        <v>89</v>
      </c>
      <c r="K26" s="12">
        <v>33</v>
      </c>
      <c r="L26" s="12">
        <v>13000</v>
      </c>
      <c r="M26" s="14">
        <f t="shared" si="1"/>
        <v>4.0461538461538459E-2</v>
      </c>
      <c r="N26" s="12">
        <v>124</v>
      </c>
      <c r="O26" s="12">
        <v>605</v>
      </c>
      <c r="P26" s="12">
        <v>3</v>
      </c>
      <c r="Q26" s="12">
        <v>40</v>
      </c>
      <c r="R26" s="15">
        <v>1.21</v>
      </c>
      <c r="S26" s="16">
        <f t="shared" si="2"/>
        <v>636.46</v>
      </c>
      <c r="T26" s="11" t="s">
        <v>89</v>
      </c>
      <c r="U26" s="17">
        <v>46246</v>
      </c>
      <c r="V26" s="17">
        <v>46286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338</v>
      </c>
      <c r="C27" s="4" t="s">
        <v>32</v>
      </c>
      <c r="D27" s="4" t="s">
        <v>136</v>
      </c>
      <c r="E27" s="4" t="s">
        <v>112</v>
      </c>
      <c r="F27" s="4" t="s">
        <v>339</v>
      </c>
      <c r="G27" s="5">
        <v>347</v>
      </c>
      <c r="H27" s="5">
        <v>54</v>
      </c>
      <c r="I27" s="6">
        <f t="shared" si="0"/>
        <v>293</v>
      </c>
      <c r="J27" s="5">
        <v>195</v>
      </c>
      <c r="K27" s="5">
        <v>95</v>
      </c>
      <c r="L27" s="5">
        <v>13000</v>
      </c>
      <c r="M27" s="7">
        <f t="shared" si="1"/>
        <v>2.6692307692307692E-2</v>
      </c>
      <c r="N27" s="5">
        <v>248</v>
      </c>
      <c r="O27" s="5">
        <v>1091</v>
      </c>
      <c r="P27" s="5">
        <v>5</v>
      </c>
      <c r="Q27" s="5">
        <v>28</v>
      </c>
      <c r="R27" s="8">
        <v>0.9</v>
      </c>
      <c r="S27" s="9">
        <f t="shared" si="2"/>
        <v>312.3</v>
      </c>
      <c r="T27" s="4" t="s">
        <v>65</v>
      </c>
      <c r="U27" s="10">
        <v>46243</v>
      </c>
      <c r="V27" s="10">
        <v>46271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340</v>
      </c>
      <c r="C28" s="11" t="s">
        <v>32</v>
      </c>
      <c r="D28" s="11" t="s">
        <v>140</v>
      </c>
      <c r="E28" s="11" t="s">
        <v>54</v>
      </c>
      <c r="F28" s="11" t="s">
        <v>341</v>
      </c>
      <c r="G28" s="12">
        <v>411</v>
      </c>
      <c r="H28" s="12">
        <v>20</v>
      </c>
      <c r="I28" s="13">
        <f t="shared" si="0"/>
        <v>391</v>
      </c>
      <c r="J28" s="12">
        <v>98</v>
      </c>
      <c r="K28" s="12">
        <v>82</v>
      </c>
      <c r="L28" s="12">
        <v>13000</v>
      </c>
      <c r="M28" s="14">
        <f t="shared" si="1"/>
        <v>3.1615384615384615E-2</v>
      </c>
      <c r="N28" s="12">
        <v>131</v>
      </c>
      <c r="O28" s="12">
        <v>537</v>
      </c>
      <c r="P28" s="12">
        <v>1</v>
      </c>
      <c r="Q28" s="12">
        <v>6</v>
      </c>
      <c r="R28" s="15">
        <v>1.36</v>
      </c>
      <c r="S28" s="16">
        <f t="shared" si="2"/>
        <v>558.96</v>
      </c>
      <c r="T28" s="11" t="s">
        <v>56</v>
      </c>
      <c r="U28" s="17">
        <v>46250</v>
      </c>
      <c r="V28" s="17">
        <v>46256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17" priority="2">
      <formula>Y5="Critical"</formula>
    </cfRule>
    <cfRule type="expression" dxfId="16" priority="3">
      <formula>Y5="Reorder"</formula>
    </cfRule>
    <cfRule type="expression" dxfId="15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342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343</v>
      </c>
      <c r="D3" s="1" t="s">
        <v>4</v>
      </c>
      <c r="E3" s="2">
        <v>24</v>
      </c>
      <c r="G3" s="1" t="s">
        <v>5</v>
      </c>
      <c r="H3" s="2">
        <v>12500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344</v>
      </c>
      <c r="C5" s="4" t="s">
        <v>32</v>
      </c>
      <c r="D5" s="4" t="s">
        <v>33</v>
      </c>
      <c r="E5" s="4" t="s">
        <v>34</v>
      </c>
      <c r="F5" s="4" t="s">
        <v>345</v>
      </c>
      <c r="G5" s="5">
        <v>599</v>
      </c>
      <c r="H5" s="5">
        <v>78</v>
      </c>
      <c r="I5" s="6">
        <f t="shared" ref="I5:I28" si="0">G5-H5</f>
        <v>521</v>
      </c>
      <c r="J5" s="5">
        <v>220</v>
      </c>
      <c r="K5" s="5">
        <v>46</v>
      </c>
      <c r="L5" s="5">
        <v>12500</v>
      </c>
      <c r="M5" s="7">
        <f t="shared" ref="M5:M28" si="1">G5/L5</f>
        <v>4.7919999999999997E-2</v>
      </c>
      <c r="N5" s="5">
        <v>208</v>
      </c>
      <c r="O5" s="5">
        <v>883</v>
      </c>
      <c r="P5" s="5">
        <v>2</v>
      </c>
      <c r="Q5" s="5">
        <v>45</v>
      </c>
      <c r="R5" s="8">
        <v>4.79</v>
      </c>
      <c r="S5" s="9">
        <f t="shared" ref="S5:S28" si="2">G5*R5</f>
        <v>2869.21</v>
      </c>
      <c r="T5" s="4" t="s">
        <v>36</v>
      </c>
      <c r="U5" s="10">
        <v>46244</v>
      </c>
      <c r="V5" s="10">
        <v>46289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346</v>
      </c>
      <c r="C6" s="11" t="s">
        <v>32</v>
      </c>
      <c r="D6" s="11" t="s">
        <v>39</v>
      </c>
      <c r="E6" s="11" t="s">
        <v>34</v>
      </c>
      <c r="F6" s="11" t="s">
        <v>347</v>
      </c>
      <c r="G6" s="12">
        <v>127</v>
      </c>
      <c r="H6" s="12">
        <v>14</v>
      </c>
      <c r="I6" s="13">
        <f t="shared" si="0"/>
        <v>113</v>
      </c>
      <c r="J6" s="12">
        <v>134</v>
      </c>
      <c r="K6" s="12">
        <v>45</v>
      </c>
      <c r="L6" s="12">
        <v>12500</v>
      </c>
      <c r="M6" s="14">
        <f t="shared" si="1"/>
        <v>1.0160000000000001E-2</v>
      </c>
      <c r="N6" s="12">
        <v>287</v>
      </c>
      <c r="O6" s="12">
        <v>1147</v>
      </c>
      <c r="P6" s="12">
        <v>5</v>
      </c>
      <c r="Q6" s="12">
        <v>18</v>
      </c>
      <c r="R6" s="15">
        <v>2.0299999999999998</v>
      </c>
      <c r="S6" s="16">
        <f t="shared" si="2"/>
        <v>257.81</v>
      </c>
      <c r="T6" s="11" t="s">
        <v>41</v>
      </c>
      <c r="U6" s="17">
        <v>46248</v>
      </c>
      <c r="V6" s="17">
        <v>46266</v>
      </c>
      <c r="W6" s="11">
        <v>13</v>
      </c>
      <c r="X6" s="11">
        <v>18</v>
      </c>
      <c r="Y6" s="13" t="str">
        <f t="shared" si="3"/>
        <v>Reorder</v>
      </c>
    </row>
    <row r="7" spans="1:25" x14ac:dyDescent="0.35">
      <c r="A7" s="4" t="s">
        <v>42</v>
      </c>
      <c r="B7" s="4" t="s">
        <v>348</v>
      </c>
      <c r="C7" s="4" t="s">
        <v>32</v>
      </c>
      <c r="D7" s="4" t="s">
        <v>44</v>
      </c>
      <c r="E7" s="4" t="s">
        <v>34</v>
      </c>
      <c r="F7" s="4" t="s">
        <v>349</v>
      </c>
      <c r="G7" s="5">
        <v>158</v>
      </c>
      <c r="H7" s="5">
        <v>5</v>
      </c>
      <c r="I7" s="6">
        <f t="shared" si="0"/>
        <v>153</v>
      </c>
      <c r="J7" s="5">
        <v>194</v>
      </c>
      <c r="K7" s="5">
        <v>72</v>
      </c>
      <c r="L7" s="5">
        <v>12500</v>
      </c>
      <c r="M7" s="7">
        <f t="shared" si="1"/>
        <v>1.264E-2</v>
      </c>
      <c r="N7" s="5">
        <v>208</v>
      </c>
      <c r="O7" s="5">
        <v>904</v>
      </c>
      <c r="P7" s="5">
        <v>3</v>
      </c>
      <c r="Q7" s="5">
        <v>38</v>
      </c>
      <c r="R7" s="8">
        <v>3.25</v>
      </c>
      <c r="S7" s="9">
        <f t="shared" si="2"/>
        <v>513.5</v>
      </c>
      <c r="T7" s="4" t="s">
        <v>46</v>
      </c>
      <c r="U7" s="10">
        <v>46246</v>
      </c>
      <c r="V7" s="10">
        <v>46284</v>
      </c>
      <c r="W7" s="4">
        <v>4</v>
      </c>
      <c r="X7" s="4">
        <v>8</v>
      </c>
      <c r="Y7" s="6" t="str">
        <f t="shared" si="3"/>
        <v>Reorder</v>
      </c>
    </row>
    <row r="8" spans="1:25" x14ac:dyDescent="0.35">
      <c r="A8" s="11" t="s">
        <v>47</v>
      </c>
      <c r="B8" s="11" t="s">
        <v>350</v>
      </c>
      <c r="C8" s="11" t="s">
        <v>32</v>
      </c>
      <c r="D8" s="11" t="s">
        <v>49</v>
      </c>
      <c r="E8" s="11" t="s">
        <v>34</v>
      </c>
      <c r="F8" s="11" t="s">
        <v>351</v>
      </c>
      <c r="G8" s="12">
        <v>412</v>
      </c>
      <c r="H8" s="12">
        <v>0</v>
      </c>
      <c r="I8" s="13">
        <f t="shared" si="0"/>
        <v>412</v>
      </c>
      <c r="J8" s="12">
        <v>123</v>
      </c>
      <c r="K8" s="12">
        <v>99</v>
      </c>
      <c r="L8" s="12">
        <v>12500</v>
      </c>
      <c r="M8" s="14">
        <f t="shared" si="1"/>
        <v>3.2960000000000003E-2</v>
      </c>
      <c r="N8" s="12">
        <v>282</v>
      </c>
      <c r="O8" s="12">
        <v>1141</v>
      </c>
      <c r="P8" s="12">
        <v>3</v>
      </c>
      <c r="Q8" s="12">
        <v>35</v>
      </c>
      <c r="R8" s="15">
        <v>2.2000000000000002</v>
      </c>
      <c r="S8" s="16">
        <f t="shared" si="2"/>
        <v>906.40000000000009</v>
      </c>
      <c r="T8" s="11" t="s">
        <v>36</v>
      </c>
      <c r="U8" s="17">
        <v>46244</v>
      </c>
      <c r="V8" s="17">
        <v>46279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352</v>
      </c>
      <c r="C9" s="4" t="s">
        <v>32</v>
      </c>
      <c r="D9" s="4" t="s">
        <v>53</v>
      </c>
      <c r="E9" s="4" t="s">
        <v>54</v>
      </c>
      <c r="F9" s="4" t="s">
        <v>353</v>
      </c>
      <c r="G9" s="5">
        <v>103</v>
      </c>
      <c r="H9" s="5">
        <v>5</v>
      </c>
      <c r="I9" s="6">
        <f t="shared" si="0"/>
        <v>98</v>
      </c>
      <c r="J9" s="5">
        <v>87</v>
      </c>
      <c r="K9" s="5">
        <v>42</v>
      </c>
      <c r="L9" s="5">
        <v>12500</v>
      </c>
      <c r="M9" s="7">
        <f t="shared" si="1"/>
        <v>8.2400000000000008E-3</v>
      </c>
      <c r="N9" s="5">
        <v>221</v>
      </c>
      <c r="O9" s="5">
        <v>911</v>
      </c>
      <c r="P9" s="5">
        <v>1</v>
      </c>
      <c r="Q9" s="5">
        <v>7</v>
      </c>
      <c r="R9" s="8">
        <v>4.5199999999999996</v>
      </c>
      <c r="S9" s="9">
        <f t="shared" si="2"/>
        <v>465.55999999999995</v>
      </c>
      <c r="T9" s="4" t="s">
        <v>56</v>
      </c>
      <c r="U9" s="10">
        <v>46249</v>
      </c>
      <c r="V9" s="10">
        <v>46256</v>
      </c>
      <c r="W9" s="4">
        <v>2</v>
      </c>
      <c r="X9" s="4">
        <v>5</v>
      </c>
      <c r="Y9" s="6" t="str">
        <f t="shared" si="3"/>
        <v>Below Forecast</v>
      </c>
    </row>
    <row r="10" spans="1:25" x14ac:dyDescent="0.35">
      <c r="A10" s="11" t="s">
        <v>57</v>
      </c>
      <c r="B10" s="11" t="s">
        <v>354</v>
      </c>
      <c r="C10" s="11" t="s">
        <v>32</v>
      </c>
      <c r="D10" s="11" t="s">
        <v>59</v>
      </c>
      <c r="E10" s="11" t="s">
        <v>54</v>
      </c>
      <c r="F10" s="11" t="s">
        <v>355</v>
      </c>
      <c r="G10" s="12">
        <v>592</v>
      </c>
      <c r="H10" s="12">
        <v>12</v>
      </c>
      <c r="I10" s="13">
        <f t="shared" si="0"/>
        <v>580</v>
      </c>
      <c r="J10" s="12">
        <v>151</v>
      </c>
      <c r="K10" s="12">
        <v>74</v>
      </c>
      <c r="L10" s="12">
        <v>12500</v>
      </c>
      <c r="M10" s="14">
        <f t="shared" si="1"/>
        <v>4.7359999999999999E-2</v>
      </c>
      <c r="N10" s="12">
        <v>158</v>
      </c>
      <c r="O10" s="12">
        <v>720</v>
      </c>
      <c r="P10" s="12">
        <v>2</v>
      </c>
      <c r="Q10" s="12">
        <v>14</v>
      </c>
      <c r="R10" s="15">
        <v>0.83</v>
      </c>
      <c r="S10" s="16">
        <f t="shared" si="2"/>
        <v>491.35999999999996</v>
      </c>
      <c r="T10" s="11" t="s">
        <v>56</v>
      </c>
      <c r="U10" s="17">
        <v>46245</v>
      </c>
      <c r="V10" s="17">
        <v>46259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356</v>
      </c>
      <c r="C11" s="4" t="s">
        <v>32</v>
      </c>
      <c r="D11" s="4" t="s">
        <v>63</v>
      </c>
      <c r="E11" s="4" t="s">
        <v>54</v>
      </c>
      <c r="F11" s="4" t="s">
        <v>357</v>
      </c>
      <c r="G11" s="5">
        <v>102</v>
      </c>
      <c r="H11" s="5">
        <v>24</v>
      </c>
      <c r="I11" s="6">
        <f t="shared" si="0"/>
        <v>78</v>
      </c>
      <c r="J11" s="5">
        <v>196</v>
      </c>
      <c r="K11" s="5">
        <v>98</v>
      </c>
      <c r="L11" s="5">
        <v>12500</v>
      </c>
      <c r="M11" s="7">
        <f t="shared" si="1"/>
        <v>8.1600000000000006E-3</v>
      </c>
      <c r="N11" s="5">
        <v>276</v>
      </c>
      <c r="O11" s="5">
        <v>1120</v>
      </c>
      <c r="P11" s="5">
        <v>3</v>
      </c>
      <c r="Q11" s="5">
        <v>21</v>
      </c>
      <c r="R11" s="8">
        <v>2.54</v>
      </c>
      <c r="S11" s="9">
        <f t="shared" si="2"/>
        <v>259.08</v>
      </c>
      <c r="T11" s="4" t="s">
        <v>65</v>
      </c>
      <c r="U11" s="10">
        <v>46251</v>
      </c>
      <c r="V11" s="10">
        <v>46272</v>
      </c>
      <c r="W11" s="4">
        <v>2</v>
      </c>
      <c r="X11" s="4">
        <v>7</v>
      </c>
      <c r="Y11" s="6" t="str">
        <f t="shared" si="3"/>
        <v>Critical</v>
      </c>
    </row>
    <row r="12" spans="1:25" x14ac:dyDescent="0.35">
      <c r="A12" s="11" t="s">
        <v>66</v>
      </c>
      <c r="B12" s="11" t="s">
        <v>358</v>
      </c>
      <c r="C12" s="11" t="s">
        <v>32</v>
      </c>
      <c r="D12" s="11" t="s">
        <v>68</v>
      </c>
      <c r="E12" s="11" t="s">
        <v>69</v>
      </c>
      <c r="F12" s="11" t="s">
        <v>359</v>
      </c>
      <c r="G12" s="12">
        <v>464</v>
      </c>
      <c r="H12" s="12">
        <v>27</v>
      </c>
      <c r="I12" s="13">
        <f t="shared" si="0"/>
        <v>437</v>
      </c>
      <c r="J12" s="12">
        <v>103</v>
      </c>
      <c r="K12" s="12">
        <v>33</v>
      </c>
      <c r="L12" s="12">
        <v>12500</v>
      </c>
      <c r="M12" s="14">
        <f t="shared" si="1"/>
        <v>3.712E-2</v>
      </c>
      <c r="N12" s="12">
        <v>72</v>
      </c>
      <c r="O12" s="12">
        <v>283</v>
      </c>
      <c r="P12" s="12">
        <v>5</v>
      </c>
      <c r="Q12" s="12">
        <v>14</v>
      </c>
      <c r="R12" s="15">
        <v>2.42</v>
      </c>
      <c r="S12" s="16">
        <f t="shared" si="2"/>
        <v>1122.8799999999999</v>
      </c>
      <c r="T12" s="11" t="s">
        <v>41</v>
      </c>
      <c r="U12" s="17">
        <v>46246</v>
      </c>
      <c r="V12" s="17">
        <v>46260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360</v>
      </c>
      <c r="C13" s="4" t="s">
        <v>32</v>
      </c>
      <c r="D13" s="4" t="s">
        <v>73</v>
      </c>
      <c r="E13" s="4" t="s">
        <v>69</v>
      </c>
      <c r="F13" s="4" t="s">
        <v>361</v>
      </c>
      <c r="G13" s="5">
        <v>428</v>
      </c>
      <c r="H13" s="5">
        <v>20</v>
      </c>
      <c r="I13" s="6">
        <f t="shared" si="0"/>
        <v>408</v>
      </c>
      <c r="J13" s="5">
        <v>164</v>
      </c>
      <c r="K13" s="5">
        <v>41</v>
      </c>
      <c r="L13" s="5">
        <v>12500</v>
      </c>
      <c r="M13" s="7">
        <f t="shared" si="1"/>
        <v>3.424E-2</v>
      </c>
      <c r="N13" s="5">
        <v>194</v>
      </c>
      <c r="O13" s="5">
        <v>785</v>
      </c>
      <c r="P13" s="5">
        <v>6</v>
      </c>
      <c r="Q13" s="5">
        <v>18</v>
      </c>
      <c r="R13" s="8">
        <v>2.5299999999999998</v>
      </c>
      <c r="S13" s="9">
        <f t="shared" si="2"/>
        <v>1082.8399999999999</v>
      </c>
      <c r="T13" s="4" t="s">
        <v>41</v>
      </c>
      <c r="U13" s="10">
        <v>46245</v>
      </c>
      <c r="V13" s="10">
        <v>46263</v>
      </c>
      <c r="W13" s="4">
        <v>8</v>
      </c>
      <c r="X13" s="4">
        <v>13</v>
      </c>
      <c r="Y13" s="6" t="str">
        <f t="shared" si="3"/>
        <v>Healthy</v>
      </c>
    </row>
    <row r="14" spans="1:25" x14ac:dyDescent="0.35">
      <c r="A14" s="11" t="s">
        <v>75</v>
      </c>
      <c r="B14" s="11" t="s">
        <v>362</v>
      </c>
      <c r="C14" s="11" t="s">
        <v>32</v>
      </c>
      <c r="D14" s="11" t="s">
        <v>77</v>
      </c>
      <c r="E14" s="11" t="s">
        <v>34</v>
      </c>
      <c r="F14" s="11" t="s">
        <v>363</v>
      </c>
      <c r="G14" s="12">
        <v>303</v>
      </c>
      <c r="H14" s="12">
        <v>47</v>
      </c>
      <c r="I14" s="13">
        <f t="shared" si="0"/>
        <v>256</v>
      </c>
      <c r="J14" s="12">
        <v>120</v>
      </c>
      <c r="K14" s="12">
        <v>51</v>
      </c>
      <c r="L14" s="12">
        <v>12500</v>
      </c>
      <c r="M14" s="14">
        <f t="shared" si="1"/>
        <v>2.4240000000000001E-2</v>
      </c>
      <c r="N14" s="12">
        <v>177</v>
      </c>
      <c r="O14" s="12">
        <v>815</v>
      </c>
      <c r="P14" s="12">
        <v>3</v>
      </c>
      <c r="Q14" s="12">
        <v>42</v>
      </c>
      <c r="R14" s="15">
        <v>0.7</v>
      </c>
      <c r="S14" s="16">
        <f t="shared" si="2"/>
        <v>212.1</v>
      </c>
      <c r="T14" s="11" t="s">
        <v>46</v>
      </c>
      <c r="U14" s="17">
        <v>46243</v>
      </c>
      <c r="V14" s="17">
        <v>46285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364</v>
      </c>
      <c r="C15" s="4" t="s">
        <v>81</v>
      </c>
      <c r="D15" s="4" t="s">
        <v>82</v>
      </c>
      <c r="E15" s="4" t="s">
        <v>34</v>
      </c>
      <c r="F15" s="4" t="s">
        <v>365</v>
      </c>
      <c r="G15" s="5">
        <v>441</v>
      </c>
      <c r="H15" s="5">
        <v>29</v>
      </c>
      <c r="I15" s="6">
        <f t="shared" si="0"/>
        <v>412</v>
      </c>
      <c r="J15" s="5">
        <v>101</v>
      </c>
      <c r="K15" s="5">
        <v>90</v>
      </c>
      <c r="L15" s="5">
        <v>12500</v>
      </c>
      <c r="M15" s="7">
        <f t="shared" si="1"/>
        <v>3.5279999999999999E-2</v>
      </c>
      <c r="N15" s="5">
        <v>84</v>
      </c>
      <c r="O15" s="5">
        <v>357</v>
      </c>
      <c r="P15" s="5">
        <v>2</v>
      </c>
      <c r="Q15" s="5">
        <v>75</v>
      </c>
      <c r="R15" s="8">
        <v>4.42</v>
      </c>
      <c r="S15" s="9">
        <f t="shared" si="2"/>
        <v>1949.22</v>
      </c>
      <c r="T15" s="4" t="s">
        <v>84</v>
      </c>
      <c r="U15" s="10">
        <v>46249</v>
      </c>
      <c r="V15" s="10">
        <v>46324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366</v>
      </c>
      <c r="C16" s="11" t="s">
        <v>81</v>
      </c>
      <c r="D16" s="11" t="s">
        <v>87</v>
      </c>
      <c r="E16" s="11" t="s">
        <v>34</v>
      </c>
      <c r="F16" s="11" t="s">
        <v>367</v>
      </c>
      <c r="G16" s="12">
        <v>319</v>
      </c>
      <c r="H16" s="12">
        <v>47</v>
      </c>
      <c r="I16" s="13">
        <f t="shared" si="0"/>
        <v>272</v>
      </c>
      <c r="J16" s="12">
        <v>120</v>
      </c>
      <c r="K16" s="12">
        <v>79</v>
      </c>
      <c r="L16" s="12">
        <v>12500</v>
      </c>
      <c r="M16" s="14">
        <f t="shared" si="1"/>
        <v>2.5520000000000001E-2</v>
      </c>
      <c r="N16" s="12">
        <v>289</v>
      </c>
      <c r="O16" s="12">
        <v>1246</v>
      </c>
      <c r="P16" s="12">
        <v>2</v>
      </c>
      <c r="Q16" s="12">
        <v>35</v>
      </c>
      <c r="R16" s="15">
        <v>2.61</v>
      </c>
      <c r="S16" s="16">
        <f t="shared" si="2"/>
        <v>832.58999999999992</v>
      </c>
      <c r="T16" s="11" t="s">
        <v>89</v>
      </c>
      <c r="U16" s="17">
        <v>46251</v>
      </c>
      <c r="V16" s="17">
        <v>46286</v>
      </c>
      <c r="W16" s="11">
        <v>2</v>
      </c>
      <c r="X16" s="11">
        <v>6</v>
      </c>
      <c r="Y16" s="13" t="str">
        <f t="shared" si="3"/>
        <v>Below Forecast</v>
      </c>
    </row>
    <row r="17" spans="1:25" x14ac:dyDescent="0.35">
      <c r="A17" s="4" t="s">
        <v>90</v>
      </c>
      <c r="B17" s="4" t="s">
        <v>368</v>
      </c>
      <c r="C17" s="4" t="s">
        <v>81</v>
      </c>
      <c r="D17" s="4" t="s">
        <v>92</v>
      </c>
      <c r="E17" s="4" t="s">
        <v>69</v>
      </c>
      <c r="F17" s="4" t="s">
        <v>369</v>
      </c>
      <c r="G17" s="5">
        <v>221</v>
      </c>
      <c r="H17" s="5">
        <v>42</v>
      </c>
      <c r="I17" s="6">
        <f t="shared" si="0"/>
        <v>179</v>
      </c>
      <c r="J17" s="5">
        <v>81</v>
      </c>
      <c r="K17" s="5">
        <v>30</v>
      </c>
      <c r="L17" s="5">
        <v>12500</v>
      </c>
      <c r="M17" s="7">
        <f t="shared" si="1"/>
        <v>1.7680000000000001E-2</v>
      </c>
      <c r="N17" s="5">
        <v>280</v>
      </c>
      <c r="O17" s="5">
        <v>1124</v>
      </c>
      <c r="P17" s="5">
        <v>2</v>
      </c>
      <c r="Q17" s="5">
        <v>12</v>
      </c>
      <c r="R17" s="8">
        <v>2.4700000000000002</v>
      </c>
      <c r="S17" s="9">
        <f t="shared" si="2"/>
        <v>545.87</v>
      </c>
      <c r="T17" s="4" t="s">
        <v>84</v>
      </c>
      <c r="U17" s="10">
        <v>46246</v>
      </c>
      <c r="V17" s="10">
        <v>46258</v>
      </c>
      <c r="W17" s="4">
        <v>1</v>
      </c>
      <c r="X17" s="4">
        <v>5</v>
      </c>
      <c r="Y17" s="6" t="str">
        <f t="shared" si="3"/>
        <v>Below Forecast</v>
      </c>
    </row>
    <row r="18" spans="1:25" x14ac:dyDescent="0.35">
      <c r="A18" s="11" t="s">
        <v>94</v>
      </c>
      <c r="B18" s="11" t="s">
        <v>370</v>
      </c>
      <c r="C18" s="11" t="s">
        <v>81</v>
      </c>
      <c r="D18" s="11" t="s">
        <v>96</v>
      </c>
      <c r="E18" s="11" t="s">
        <v>97</v>
      </c>
      <c r="F18" s="11" t="s">
        <v>371</v>
      </c>
      <c r="G18" s="12">
        <v>395</v>
      </c>
      <c r="H18" s="12">
        <v>48</v>
      </c>
      <c r="I18" s="13">
        <f t="shared" si="0"/>
        <v>347</v>
      </c>
      <c r="J18" s="12">
        <v>86</v>
      </c>
      <c r="K18" s="12">
        <v>49</v>
      </c>
      <c r="L18" s="12">
        <v>12500</v>
      </c>
      <c r="M18" s="14">
        <f t="shared" si="1"/>
        <v>3.1600000000000003E-2</v>
      </c>
      <c r="N18" s="12">
        <v>158</v>
      </c>
      <c r="O18" s="12">
        <v>662</v>
      </c>
      <c r="P18" s="12">
        <v>1</v>
      </c>
      <c r="Q18" s="12">
        <v>7</v>
      </c>
      <c r="R18" s="15">
        <v>4.72</v>
      </c>
      <c r="S18" s="16">
        <f t="shared" si="2"/>
        <v>1864.3999999999999</v>
      </c>
      <c r="T18" s="11" t="s">
        <v>99</v>
      </c>
      <c r="U18" s="17">
        <v>46250</v>
      </c>
      <c r="V18" s="17">
        <v>46257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372</v>
      </c>
      <c r="C19" s="4" t="s">
        <v>81</v>
      </c>
      <c r="D19" s="4" t="s">
        <v>102</v>
      </c>
      <c r="E19" s="4" t="s">
        <v>34</v>
      </c>
      <c r="F19" s="4" t="s">
        <v>373</v>
      </c>
      <c r="G19" s="5">
        <v>104</v>
      </c>
      <c r="H19" s="5">
        <v>23</v>
      </c>
      <c r="I19" s="6">
        <f t="shared" si="0"/>
        <v>81</v>
      </c>
      <c r="J19" s="5">
        <v>196</v>
      </c>
      <c r="K19" s="5">
        <v>94</v>
      </c>
      <c r="L19" s="5">
        <v>12500</v>
      </c>
      <c r="M19" s="7">
        <f t="shared" si="1"/>
        <v>8.3199999999999993E-3</v>
      </c>
      <c r="N19" s="5">
        <v>295</v>
      </c>
      <c r="O19" s="5">
        <v>1147</v>
      </c>
      <c r="P19" s="5">
        <v>2</v>
      </c>
      <c r="Q19" s="5">
        <v>14</v>
      </c>
      <c r="R19" s="8">
        <v>3.35</v>
      </c>
      <c r="S19" s="9">
        <f t="shared" si="2"/>
        <v>348.40000000000003</v>
      </c>
      <c r="T19" s="4" t="s">
        <v>104</v>
      </c>
      <c r="U19" s="10">
        <v>46244</v>
      </c>
      <c r="V19" s="10">
        <v>46258</v>
      </c>
      <c r="W19" s="4">
        <v>8</v>
      </c>
      <c r="X19" s="4">
        <v>12</v>
      </c>
      <c r="Y19" s="6" t="str">
        <f t="shared" si="3"/>
        <v>Critical</v>
      </c>
    </row>
    <row r="20" spans="1:25" x14ac:dyDescent="0.35">
      <c r="A20" s="11" t="s">
        <v>105</v>
      </c>
      <c r="B20" s="11" t="s">
        <v>374</v>
      </c>
      <c r="C20" s="11" t="s">
        <v>81</v>
      </c>
      <c r="D20" s="11" t="s">
        <v>107</v>
      </c>
      <c r="E20" s="11" t="s">
        <v>69</v>
      </c>
      <c r="F20" s="11" t="s">
        <v>375</v>
      </c>
      <c r="G20" s="12">
        <v>133</v>
      </c>
      <c r="H20" s="12">
        <v>39</v>
      </c>
      <c r="I20" s="13">
        <f t="shared" si="0"/>
        <v>94</v>
      </c>
      <c r="J20" s="12">
        <v>159</v>
      </c>
      <c r="K20" s="12">
        <v>100</v>
      </c>
      <c r="L20" s="12">
        <v>12500</v>
      </c>
      <c r="M20" s="14">
        <f t="shared" si="1"/>
        <v>1.064E-2</v>
      </c>
      <c r="N20" s="12">
        <v>123</v>
      </c>
      <c r="O20" s="12">
        <v>510</v>
      </c>
      <c r="P20" s="12">
        <v>2</v>
      </c>
      <c r="Q20" s="12">
        <v>14</v>
      </c>
      <c r="R20" s="15">
        <v>0.68</v>
      </c>
      <c r="S20" s="16">
        <f t="shared" si="2"/>
        <v>90.440000000000012</v>
      </c>
      <c r="T20" s="11" t="s">
        <v>104</v>
      </c>
      <c r="U20" s="17">
        <v>46250</v>
      </c>
      <c r="V20" s="17">
        <v>46264</v>
      </c>
      <c r="W20" s="11">
        <v>8</v>
      </c>
      <c r="X20" s="11">
        <v>12</v>
      </c>
      <c r="Y20" s="13" t="str">
        <f t="shared" si="3"/>
        <v>Critical</v>
      </c>
    </row>
    <row r="21" spans="1:25" x14ac:dyDescent="0.35">
      <c r="A21" s="4" t="s">
        <v>109</v>
      </c>
      <c r="B21" s="4" t="s">
        <v>376</v>
      </c>
      <c r="C21" s="4" t="s">
        <v>81</v>
      </c>
      <c r="D21" s="4" t="s">
        <v>111</v>
      </c>
      <c r="E21" s="4" t="s">
        <v>112</v>
      </c>
      <c r="F21" s="4" t="s">
        <v>377</v>
      </c>
      <c r="G21" s="5">
        <v>275</v>
      </c>
      <c r="H21" s="5">
        <v>6</v>
      </c>
      <c r="I21" s="6">
        <f t="shared" si="0"/>
        <v>269</v>
      </c>
      <c r="J21" s="5">
        <v>101</v>
      </c>
      <c r="K21" s="5">
        <v>91</v>
      </c>
      <c r="L21" s="5">
        <v>12500</v>
      </c>
      <c r="M21" s="7">
        <f t="shared" si="1"/>
        <v>2.1999999999999999E-2</v>
      </c>
      <c r="N21" s="5">
        <v>119</v>
      </c>
      <c r="O21" s="5">
        <v>586</v>
      </c>
      <c r="P21" s="5">
        <v>3</v>
      </c>
      <c r="Q21" s="5">
        <v>18</v>
      </c>
      <c r="R21" s="8">
        <v>0.61</v>
      </c>
      <c r="S21" s="9">
        <f t="shared" si="2"/>
        <v>167.75</v>
      </c>
      <c r="T21" s="4" t="s">
        <v>104</v>
      </c>
      <c r="U21" s="10">
        <v>46248</v>
      </c>
      <c r="V21" s="10">
        <v>46266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378</v>
      </c>
      <c r="C22" s="11" t="s">
        <v>81</v>
      </c>
      <c r="D22" s="11" t="s">
        <v>116</v>
      </c>
      <c r="E22" s="11" t="s">
        <v>34</v>
      </c>
      <c r="F22" s="11" t="s">
        <v>379</v>
      </c>
      <c r="G22" s="12">
        <v>241</v>
      </c>
      <c r="H22" s="12">
        <v>59</v>
      </c>
      <c r="I22" s="13">
        <f t="shared" si="0"/>
        <v>182</v>
      </c>
      <c r="J22" s="12">
        <v>214</v>
      </c>
      <c r="K22" s="12">
        <v>176</v>
      </c>
      <c r="L22" s="12">
        <v>12500</v>
      </c>
      <c r="M22" s="14">
        <f t="shared" si="1"/>
        <v>1.9279999999999999E-2</v>
      </c>
      <c r="N22" s="12">
        <v>166</v>
      </c>
      <c r="O22" s="12">
        <v>762</v>
      </c>
      <c r="P22" s="12">
        <v>2</v>
      </c>
      <c r="Q22" s="12">
        <v>60</v>
      </c>
      <c r="R22" s="15">
        <v>1.58</v>
      </c>
      <c r="S22" s="16">
        <f t="shared" si="2"/>
        <v>380.78000000000003</v>
      </c>
      <c r="T22" s="11" t="s">
        <v>89</v>
      </c>
      <c r="U22" s="17">
        <v>46245</v>
      </c>
      <c r="V22" s="17">
        <v>46305</v>
      </c>
      <c r="W22" s="11">
        <v>5</v>
      </c>
      <c r="X22" s="11">
        <v>10</v>
      </c>
      <c r="Y22" s="13" t="str">
        <f t="shared" si="3"/>
        <v>Reorder</v>
      </c>
    </row>
    <row r="23" spans="1:25" x14ac:dyDescent="0.35">
      <c r="A23" s="4" t="s">
        <v>118</v>
      </c>
      <c r="B23" s="4" t="s">
        <v>380</v>
      </c>
      <c r="C23" s="4" t="s">
        <v>81</v>
      </c>
      <c r="D23" s="4" t="s">
        <v>120</v>
      </c>
      <c r="E23" s="4" t="s">
        <v>34</v>
      </c>
      <c r="F23" s="4" t="s">
        <v>381</v>
      </c>
      <c r="G23" s="5">
        <v>409</v>
      </c>
      <c r="H23" s="5">
        <v>74</v>
      </c>
      <c r="I23" s="6">
        <f t="shared" si="0"/>
        <v>335</v>
      </c>
      <c r="J23" s="5">
        <v>194</v>
      </c>
      <c r="K23" s="5">
        <v>168</v>
      </c>
      <c r="L23" s="5">
        <v>12500</v>
      </c>
      <c r="M23" s="7">
        <f t="shared" si="1"/>
        <v>3.2719999999999999E-2</v>
      </c>
      <c r="N23" s="5">
        <v>263</v>
      </c>
      <c r="O23" s="5">
        <v>1098</v>
      </c>
      <c r="P23" s="5">
        <v>2</v>
      </c>
      <c r="Q23" s="5">
        <v>12</v>
      </c>
      <c r="R23" s="8">
        <v>1.1200000000000001</v>
      </c>
      <c r="S23" s="9">
        <f t="shared" si="2"/>
        <v>458.08000000000004</v>
      </c>
      <c r="T23" s="4" t="s">
        <v>84</v>
      </c>
      <c r="U23" s="10">
        <v>46248</v>
      </c>
      <c r="V23" s="10">
        <v>46260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382</v>
      </c>
      <c r="C24" s="11" t="s">
        <v>32</v>
      </c>
      <c r="D24" s="11" t="s">
        <v>124</v>
      </c>
      <c r="E24" s="11" t="s">
        <v>69</v>
      </c>
      <c r="F24" s="11" t="s">
        <v>383</v>
      </c>
      <c r="G24" s="12">
        <v>625</v>
      </c>
      <c r="H24" s="12">
        <v>75</v>
      </c>
      <c r="I24" s="13">
        <f t="shared" si="0"/>
        <v>550</v>
      </c>
      <c r="J24" s="12">
        <v>123</v>
      </c>
      <c r="K24" s="12">
        <v>56</v>
      </c>
      <c r="L24" s="12">
        <v>12500</v>
      </c>
      <c r="M24" s="14">
        <f t="shared" si="1"/>
        <v>0.05</v>
      </c>
      <c r="N24" s="12">
        <v>238</v>
      </c>
      <c r="O24" s="12">
        <v>1042</v>
      </c>
      <c r="P24" s="12">
        <v>5</v>
      </c>
      <c r="Q24" s="12">
        <v>10</v>
      </c>
      <c r="R24" s="15">
        <v>2.83</v>
      </c>
      <c r="S24" s="16">
        <f t="shared" si="2"/>
        <v>1768.75</v>
      </c>
      <c r="T24" s="11" t="s">
        <v>41</v>
      </c>
      <c r="U24" s="17">
        <v>46251</v>
      </c>
      <c r="V24" s="17">
        <v>46261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384</v>
      </c>
      <c r="C25" s="4" t="s">
        <v>81</v>
      </c>
      <c r="D25" s="4" t="s">
        <v>128</v>
      </c>
      <c r="E25" s="4" t="s">
        <v>69</v>
      </c>
      <c r="F25" s="4" t="s">
        <v>385</v>
      </c>
      <c r="G25" s="5">
        <v>349</v>
      </c>
      <c r="H25" s="5">
        <v>31</v>
      </c>
      <c r="I25" s="6">
        <f t="shared" si="0"/>
        <v>318</v>
      </c>
      <c r="J25" s="5">
        <v>133</v>
      </c>
      <c r="K25" s="5">
        <v>37</v>
      </c>
      <c r="L25" s="5">
        <v>12500</v>
      </c>
      <c r="M25" s="7">
        <f t="shared" si="1"/>
        <v>2.792E-2</v>
      </c>
      <c r="N25" s="5">
        <v>170</v>
      </c>
      <c r="O25" s="5">
        <v>634</v>
      </c>
      <c r="P25" s="5">
        <v>2</v>
      </c>
      <c r="Q25" s="5">
        <v>12</v>
      </c>
      <c r="R25" s="8">
        <v>3.19</v>
      </c>
      <c r="S25" s="9">
        <f t="shared" si="2"/>
        <v>1113.31</v>
      </c>
      <c r="T25" s="4" t="s">
        <v>84</v>
      </c>
      <c r="U25" s="10">
        <v>46249</v>
      </c>
      <c r="V25" s="10">
        <v>46261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386</v>
      </c>
      <c r="C26" s="11" t="s">
        <v>81</v>
      </c>
      <c r="D26" s="11" t="s">
        <v>132</v>
      </c>
      <c r="E26" s="11" t="s">
        <v>34</v>
      </c>
      <c r="F26" s="11" t="s">
        <v>387</v>
      </c>
      <c r="G26" s="12">
        <v>103</v>
      </c>
      <c r="H26" s="12">
        <v>22</v>
      </c>
      <c r="I26" s="13">
        <f t="shared" si="0"/>
        <v>81</v>
      </c>
      <c r="J26" s="12">
        <v>164</v>
      </c>
      <c r="K26" s="12">
        <v>76</v>
      </c>
      <c r="L26" s="12">
        <v>12500</v>
      </c>
      <c r="M26" s="14">
        <f t="shared" si="1"/>
        <v>8.2400000000000008E-3</v>
      </c>
      <c r="N26" s="12">
        <v>74</v>
      </c>
      <c r="O26" s="12">
        <v>400</v>
      </c>
      <c r="P26" s="12">
        <v>3</v>
      </c>
      <c r="Q26" s="12">
        <v>40</v>
      </c>
      <c r="R26" s="15">
        <v>2.92</v>
      </c>
      <c r="S26" s="16">
        <f t="shared" si="2"/>
        <v>300.76</v>
      </c>
      <c r="T26" s="11" t="s">
        <v>89</v>
      </c>
      <c r="U26" s="17">
        <v>46244</v>
      </c>
      <c r="V26" s="17">
        <v>46284</v>
      </c>
      <c r="W26" s="11">
        <v>8</v>
      </c>
      <c r="X26" s="11">
        <v>13</v>
      </c>
      <c r="Y26" s="13" t="str">
        <f t="shared" si="3"/>
        <v>Reorder</v>
      </c>
    </row>
    <row r="27" spans="1:25" x14ac:dyDescent="0.35">
      <c r="A27" s="4" t="s">
        <v>134</v>
      </c>
      <c r="B27" s="4" t="s">
        <v>388</v>
      </c>
      <c r="C27" s="4" t="s">
        <v>32</v>
      </c>
      <c r="D27" s="4" t="s">
        <v>136</v>
      </c>
      <c r="E27" s="4" t="s">
        <v>112</v>
      </c>
      <c r="F27" s="4" t="s">
        <v>389</v>
      </c>
      <c r="G27" s="5">
        <v>137</v>
      </c>
      <c r="H27" s="5">
        <v>2</v>
      </c>
      <c r="I27" s="6">
        <f t="shared" si="0"/>
        <v>135</v>
      </c>
      <c r="J27" s="5">
        <v>192</v>
      </c>
      <c r="K27" s="5">
        <v>124</v>
      </c>
      <c r="L27" s="5">
        <v>12500</v>
      </c>
      <c r="M27" s="7">
        <f t="shared" si="1"/>
        <v>1.0959999999999999E-2</v>
      </c>
      <c r="N27" s="5">
        <v>130</v>
      </c>
      <c r="O27" s="5">
        <v>505</v>
      </c>
      <c r="P27" s="5">
        <v>5</v>
      </c>
      <c r="Q27" s="5">
        <v>28</v>
      </c>
      <c r="R27" s="8">
        <v>4.2699999999999996</v>
      </c>
      <c r="S27" s="9">
        <f t="shared" si="2"/>
        <v>584.9899999999999</v>
      </c>
      <c r="T27" s="4" t="s">
        <v>65</v>
      </c>
      <c r="U27" s="10">
        <v>46244</v>
      </c>
      <c r="V27" s="10">
        <v>46272</v>
      </c>
      <c r="W27" s="4">
        <v>2</v>
      </c>
      <c r="X27" s="4">
        <v>6</v>
      </c>
      <c r="Y27" s="6" t="str">
        <f t="shared" si="3"/>
        <v>Reorder</v>
      </c>
    </row>
    <row r="28" spans="1:25" x14ac:dyDescent="0.35">
      <c r="A28" s="11" t="s">
        <v>138</v>
      </c>
      <c r="B28" s="11" t="s">
        <v>390</v>
      </c>
      <c r="C28" s="11" t="s">
        <v>32</v>
      </c>
      <c r="D28" s="11" t="s">
        <v>140</v>
      </c>
      <c r="E28" s="11" t="s">
        <v>54</v>
      </c>
      <c r="F28" s="11" t="s">
        <v>391</v>
      </c>
      <c r="G28" s="12">
        <v>295</v>
      </c>
      <c r="H28" s="12">
        <v>58</v>
      </c>
      <c r="I28" s="13">
        <f t="shared" si="0"/>
        <v>237</v>
      </c>
      <c r="J28" s="12">
        <v>167</v>
      </c>
      <c r="K28" s="12">
        <v>111</v>
      </c>
      <c r="L28" s="12">
        <v>12500</v>
      </c>
      <c r="M28" s="14">
        <f t="shared" si="1"/>
        <v>2.3599999999999999E-2</v>
      </c>
      <c r="N28" s="12">
        <v>131</v>
      </c>
      <c r="O28" s="12">
        <v>593</v>
      </c>
      <c r="P28" s="12">
        <v>1</v>
      </c>
      <c r="Q28" s="12">
        <v>6</v>
      </c>
      <c r="R28" s="15">
        <v>3.31</v>
      </c>
      <c r="S28" s="16">
        <f t="shared" si="2"/>
        <v>976.45</v>
      </c>
      <c r="T28" s="11" t="s">
        <v>56</v>
      </c>
      <c r="U28" s="17">
        <v>46250</v>
      </c>
      <c r="V28" s="17">
        <v>46256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14" priority="2">
      <formula>Y5="Critical"</formula>
    </cfRule>
    <cfRule type="expression" dxfId="13" priority="3">
      <formula>Y5="Reorder"</formula>
    </cfRule>
    <cfRule type="expression" dxfId="12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392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393</v>
      </c>
      <c r="D3" s="1" t="s">
        <v>4</v>
      </c>
      <c r="E3" s="2">
        <v>24</v>
      </c>
      <c r="G3" s="1" t="s">
        <v>5</v>
      </c>
      <c r="H3" s="2">
        <v>12500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394</v>
      </c>
      <c r="C5" s="4" t="s">
        <v>32</v>
      </c>
      <c r="D5" s="4" t="s">
        <v>33</v>
      </c>
      <c r="E5" s="4" t="s">
        <v>34</v>
      </c>
      <c r="F5" s="4" t="s">
        <v>395</v>
      </c>
      <c r="G5" s="5">
        <v>441</v>
      </c>
      <c r="H5" s="5">
        <v>39</v>
      </c>
      <c r="I5" s="6">
        <f t="shared" ref="I5:I28" si="0">G5-H5</f>
        <v>402</v>
      </c>
      <c r="J5" s="5">
        <v>126</v>
      </c>
      <c r="K5" s="5">
        <v>70</v>
      </c>
      <c r="L5" s="5">
        <v>12500</v>
      </c>
      <c r="M5" s="7">
        <f t="shared" ref="M5:M28" si="1">G5/L5</f>
        <v>3.5279999999999999E-2</v>
      </c>
      <c r="N5" s="5">
        <v>184</v>
      </c>
      <c r="O5" s="5">
        <v>752</v>
      </c>
      <c r="P5" s="5">
        <v>2</v>
      </c>
      <c r="Q5" s="5">
        <v>45</v>
      </c>
      <c r="R5" s="8">
        <v>2.4500000000000002</v>
      </c>
      <c r="S5" s="9">
        <f t="shared" ref="S5:S28" si="2">G5*R5</f>
        <v>1080.45</v>
      </c>
      <c r="T5" s="4" t="s">
        <v>36</v>
      </c>
      <c r="U5" s="10">
        <v>46249</v>
      </c>
      <c r="V5" s="10">
        <v>46294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396</v>
      </c>
      <c r="C6" s="11" t="s">
        <v>32</v>
      </c>
      <c r="D6" s="11" t="s">
        <v>39</v>
      </c>
      <c r="E6" s="11" t="s">
        <v>34</v>
      </c>
      <c r="F6" s="11" t="s">
        <v>397</v>
      </c>
      <c r="G6" s="12">
        <v>426</v>
      </c>
      <c r="H6" s="12">
        <v>50</v>
      </c>
      <c r="I6" s="13">
        <f t="shared" si="0"/>
        <v>376</v>
      </c>
      <c r="J6" s="12">
        <v>105</v>
      </c>
      <c r="K6" s="12">
        <v>92</v>
      </c>
      <c r="L6" s="12">
        <v>12500</v>
      </c>
      <c r="M6" s="14">
        <f t="shared" si="1"/>
        <v>3.4079999999999999E-2</v>
      </c>
      <c r="N6" s="12">
        <v>288</v>
      </c>
      <c r="O6" s="12">
        <v>1160</v>
      </c>
      <c r="P6" s="12">
        <v>5</v>
      </c>
      <c r="Q6" s="12">
        <v>18</v>
      </c>
      <c r="R6" s="15">
        <v>1.37</v>
      </c>
      <c r="S6" s="16">
        <f t="shared" si="2"/>
        <v>583.62</v>
      </c>
      <c r="T6" s="11" t="s">
        <v>41</v>
      </c>
      <c r="U6" s="17">
        <v>46251</v>
      </c>
      <c r="V6" s="17">
        <v>46269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398</v>
      </c>
      <c r="C7" s="4" t="s">
        <v>32</v>
      </c>
      <c r="D7" s="4" t="s">
        <v>44</v>
      </c>
      <c r="E7" s="4" t="s">
        <v>34</v>
      </c>
      <c r="F7" s="4" t="s">
        <v>399</v>
      </c>
      <c r="G7" s="5">
        <v>536</v>
      </c>
      <c r="H7" s="5">
        <v>16</v>
      </c>
      <c r="I7" s="6">
        <f t="shared" si="0"/>
        <v>520</v>
      </c>
      <c r="J7" s="5">
        <v>194</v>
      </c>
      <c r="K7" s="5">
        <v>74</v>
      </c>
      <c r="L7" s="5">
        <v>12500</v>
      </c>
      <c r="M7" s="7">
        <f t="shared" si="1"/>
        <v>4.2880000000000001E-2</v>
      </c>
      <c r="N7" s="5">
        <v>283</v>
      </c>
      <c r="O7" s="5">
        <v>1122</v>
      </c>
      <c r="P7" s="5">
        <v>3</v>
      </c>
      <c r="Q7" s="5">
        <v>38</v>
      </c>
      <c r="R7" s="8">
        <v>3.13</v>
      </c>
      <c r="S7" s="9">
        <f t="shared" si="2"/>
        <v>1677.6799999999998</v>
      </c>
      <c r="T7" s="4" t="s">
        <v>46</v>
      </c>
      <c r="U7" s="10">
        <v>46247</v>
      </c>
      <c r="V7" s="10">
        <v>46285</v>
      </c>
      <c r="W7" s="4">
        <v>4</v>
      </c>
      <c r="X7" s="4">
        <v>8</v>
      </c>
      <c r="Y7" s="6" t="str">
        <f t="shared" si="3"/>
        <v>Healthy</v>
      </c>
    </row>
    <row r="8" spans="1:25" x14ac:dyDescent="0.35">
      <c r="A8" s="11" t="s">
        <v>47</v>
      </c>
      <c r="B8" s="11" t="s">
        <v>400</v>
      </c>
      <c r="C8" s="11" t="s">
        <v>32</v>
      </c>
      <c r="D8" s="11" t="s">
        <v>49</v>
      </c>
      <c r="E8" s="11" t="s">
        <v>34</v>
      </c>
      <c r="F8" s="11" t="s">
        <v>401</v>
      </c>
      <c r="G8" s="12">
        <v>309</v>
      </c>
      <c r="H8" s="12">
        <v>14</v>
      </c>
      <c r="I8" s="13">
        <f t="shared" si="0"/>
        <v>295</v>
      </c>
      <c r="J8" s="12">
        <v>177</v>
      </c>
      <c r="K8" s="12">
        <v>113</v>
      </c>
      <c r="L8" s="12">
        <v>12500</v>
      </c>
      <c r="M8" s="14">
        <f t="shared" si="1"/>
        <v>2.4719999999999999E-2</v>
      </c>
      <c r="N8" s="12">
        <v>100</v>
      </c>
      <c r="O8" s="12">
        <v>334</v>
      </c>
      <c r="P8" s="12">
        <v>3</v>
      </c>
      <c r="Q8" s="12">
        <v>35</v>
      </c>
      <c r="R8" s="15">
        <v>2.0699999999999998</v>
      </c>
      <c r="S8" s="16">
        <f t="shared" si="2"/>
        <v>639.63</v>
      </c>
      <c r="T8" s="11" t="s">
        <v>36</v>
      </c>
      <c r="U8" s="17">
        <v>46247</v>
      </c>
      <c r="V8" s="17">
        <v>46282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402</v>
      </c>
      <c r="C9" s="4" t="s">
        <v>32</v>
      </c>
      <c r="D9" s="4" t="s">
        <v>53</v>
      </c>
      <c r="E9" s="4" t="s">
        <v>54</v>
      </c>
      <c r="F9" s="4" t="s">
        <v>403</v>
      </c>
      <c r="G9" s="5">
        <v>353</v>
      </c>
      <c r="H9" s="5">
        <v>68</v>
      </c>
      <c r="I9" s="6">
        <f t="shared" si="0"/>
        <v>285</v>
      </c>
      <c r="J9" s="5">
        <v>190</v>
      </c>
      <c r="K9" s="5">
        <v>87</v>
      </c>
      <c r="L9" s="5">
        <v>12500</v>
      </c>
      <c r="M9" s="7">
        <f t="shared" si="1"/>
        <v>2.8240000000000001E-2</v>
      </c>
      <c r="N9" s="5">
        <v>154</v>
      </c>
      <c r="O9" s="5">
        <v>673</v>
      </c>
      <c r="P9" s="5">
        <v>1</v>
      </c>
      <c r="Q9" s="5">
        <v>7</v>
      </c>
      <c r="R9" s="8">
        <v>1.99</v>
      </c>
      <c r="S9" s="9">
        <f t="shared" si="2"/>
        <v>702.47</v>
      </c>
      <c r="T9" s="4" t="s">
        <v>56</v>
      </c>
      <c r="U9" s="10">
        <v>46248</v>
      </c>
      <c r="V9" s="10">
        <v>46255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404</v>
      </c>
      <c r="C10" s="11" t="s">
        <v>32</v>
      </c>
      <c r="D10" s="11" t="s">
        <v>59</v>
      </c>
      <c r="E10" s="11" t="s">
        <v>54</v>
      </c>
      <c r="F10" s="11" t="s">
        <v>405</v>
      </c>
      <c r="G10" s="12">
        <v>367</v>
      </c>
      <c r="H10" s="12">
        <v>47</v>
      </c>
      <c r="I10" s="13">
        <f t="shared" si="0"/>
        <v>320</v>
      </c>
      <c r="J10" s="12">
        <v>174</v>
      </c>
      <c r="K10" s="12">
        <v>155</v>
      </c>
      <c r="L10" s="12">
        <v>12500</v>
      </c>
      <c r="M10" s="14">
        <f t="shared" si="1"/>
        <v>2.9360000000000001E-2</v>
      </c>
      <c r="N10" s="12">
        <v>279</v>
      </c>
      <c r="O10" s="12">
        <v>1215</v>
      </c>
      <c r="P10" s="12">
        <v>2</v>
      </c>
      <c r="Q10" s="12">
        <v>14</v>
      </c>
      <c r="R10" s="15">
        <v>3.46</v>
      </c>
      <c r="S10" s="16">
        <f t="shared" si="2"/>
        <v>1269.82</v>
      </c>
      <c r="T10" s="11" t="s">
        <v>56</v>
      </c>
      <c r="U10" s="17">
        <v>46248</v>
      </c>
      <c r="V10" s="17">
        <v>46262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406</v>
      </c>
      <c r="C11" s="4" t="s">
        <v>32</v>
      </c>
      <c r="D11" s="4" t="s">
        <v>63</v>
      </c>
      <c r="E11" s="4" t="s">
        <v>54</v>
      </c>
      <c r="F11" s="4" t="s">
        <v>407</v>
      </c>
      <c r="G11" s="5">
        <v>228</v>
      </c>
      <c r="H11" s="5">
        <v>45</v>
      </c>
      <c r="I11" s="6">
        <f t="shared" si="0"/>
        <v>183</v>
      </c>
      <c r="J11" s="5">
        <v>181</v>
      </c>
      <c r="K11" s="5">
        <v>145</v>
      </c>
      <c r="L11" s="5">
        <v>12500</v>
      </c>
      <c r="M11" s="7">
        <f t="shared" si="1"/>
        <v>1.8239999999999999E-2</v>
      </c>
      <c r="N11" s="5">
        <v>262</v>
      </c>
      <c r="O11" s="5">
        <v>1023</v>
      </c>
      <c r="P11" s="5">
        <v>3</v>
      </c>
      <c r="Q11" s="5">
        <v>21</v>
      </c>
      <c r="R11" s="8">
        <v>0.66</v>
      </c>
      <c r="S11" s="9">
        <f t="shared" si="2"/>
        <v>150.48000000000002</v>
      </c>
      <c r="T11" s="4" t="s">
        <v>65</v>
      </c>
      <c r="U11" s="10">
        <v>46249</v>
      </c>
      <c r="V11" s="10">
        <v>46270</v>
      </c>
      <c r="W11" s="4">
        <v>2</v>
      </c>
      <c r="X11" s="4">
        <v>7</v>
      </c>
      <c r="Y11" s="6" t="str">
        <f t="shared" si="3"/>
        <v>Below Forecast</v>
      </c>
    </row>
    <row r="12" spans="1:25" x14ac:dyDescent="0.35">
      <c r="A12" s="11" t="s">
        <v>66</v>
      </c>
      <c r="B12" s="11" t="s">
        <v>408</v>
      </c>
      <c r="C12" s="11" t="s">
        <v>32</v>
      </c>
      <c r="D12" s="11" t="s">
        <v>68</v>
      </c>
      <c r="E12" s="11" t="s">
        <v>69</v>
      </c>
      <c r="F12" s="11" t="s">
        <v>409</v>
      </c>
      <c r="G12" s="12">
        <v>533</v>
      </c>
      <c r="H12" s="12">
        <v>47</v>
      </c>
      <c r="I12" s="13">
        <f t="shared" si="0"/>
        <v>486</v>
      </c>
      <c r="J12" s="12">
        <v>199</v>
      </c>
      <c r="K12" s="12">
        <v>133</v>
      </c>
      <c r="L12" s="12">
        <v>12500</v>
      </c>
      <c r="M12" s="14">
        <f t="shared" si="1"/>
        <v>4.2639999999999997E-2</v>
      </c>
      <c r="N12" s="12">
        <v>220</v>
      </c>
      <c r="O12" s="12">
        <v>893</v>
      </c>
      <c r="P12" s="12">
        <v>5</v>
      </c>
      <c r="Q12" s="12">
        <v>14</v>
      </c>
      <c r="R12" s="15">
        <v>4.2</v>
      </c>
      <c r="S12" s="16">
        <f t="shared" si="2"/>
        <v>2238.6</v>
      </c>
      <c r="T12" s="11" t="s">
        <v>41</v>
      </c>
      <c r="U12" s="17">
        <v>46250</v>
      </c>
      <c r="V12" s="17">
        <v>46264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410</v>
      </c>
      <c r="C13" s="4" t="s">
        <v>32</v>
      </c>
      <c r="D13" s="4" t="s">
        <v>73</v>
      </c>
      <c r="E13" s="4" t="s">
        <v>69</v>
      </c>
      <c r="F13" s="4" t="s">
        <v>411</v>
      </c>
      <c r="G13" s="5">
        <v>91</v>
      </c>
      <c r="H13" s="5">
        <v>30</v>
      </c>
      <c r="I13" s="6">
        <f t="shared" si="0"/>
        <v>61</v>
      </c>
      <c r="J13" s="5">
        <v>127</v>
      </c>
      <c r="K13" s="5">
        <v>87</v>
      </c>
      <c r="L13" s="5">
        <v>12500</v>
      </c>
      <c r="M13" s="7">
        <f t="shared" si="1"/>
        <v>7.28E-3</v>
      </c>
      <c r="N13" s="5">
        <v>110</v>
      </c>
      <c r="O13" s="5">
        <v>424</v>
      </c>
      <c r="P13" s="5">
        <v>6</v>
      </c>
      <c r="Q13" s="5">
        <v>18</v>
      </c>
      <c r="R13" s="8">
        <v>0.91</v>
      </c>
      <c r="S13" s="9">
        <f t="shared" si="2"/>
        <v>82.81</v>
      </c>
      <c r="T13" s="4" t="s">
        <v>41</v>
      </c>
      <c r="U13" s="10">
        <v>46249</v>
      </c>
      <c r="V13" s="10">
        <v>46267</v>
      </c>
      <c r="W13" s="4">
        <v>8</v>
      </c>
      <c r="X13" s="4">
        <v>13</v>
      </c>
      <c r="Y13" s="6" t="str">
        <f t="shared" si="3"/>
        <v>Critical</v>
      </c>
    </row>
    <row r="14" spans="1:25" x14ac:dyDescent="0.35">
      <c r="A14" s="11" t="s">
        <v>75</v>
      </c>
      <c r="B14" s="11" t="s">
        <v>412</v>
      </c>
      <c r="C14" s="11" t="s">
        <v>32</v>
      </c>
      <c r="D14" s="11" t="s">
        <v>77</v>
      </c>
      <c r="E14" s="11" t="s">
        <v>34</v>
      </c>
      <c r="F14" s="11" t="s">
        <v>413</v>
      </c>
      <c r="G14" s="12">
        <v>287</v>
      </c>
      <c r="H14" s="12">
        <v>55</v>
      </c>
      <c r="I14" s="13">
        <f t="shared" si="0"/>
        <v>232</v>
      </c>
      <c r="J14" s="12">
        <v>88</v>
      </c>
      <c r="K14" s="12">
        <v>78</v>
      </c>
      <c r="L14" s="12">
        <v>12500</v>
      </c>
      <c r="M14" s="14">
        <f t="shared" si="1"/>
        <v>2.2960000000000001E-2</v>
      </c>
      <c r="N14" s="12">
        <v>256</v>
      </c>
      <c r="O14" s="12">
        <v>1012</v>
      </c>
      <c r="P14" s="12">
        <v>3</v>
      </c>
      <c r="Q14" s="12">
        <v>42</v>
      </c>
      <c r="R14" s="15">
        <v>1.74</v>
      </c>
      <c r="S14" s="16">
        <f t="shared" si="2"/>
        <v>499.38</v>
      </c>
      <c r="T14" s="11" t="s">
        <v>46</v>
      </c>
      <c r="U14" s="17">
        <v>46250</v>
      </c>
      <c r="V14" s="17">
        <v>46292</v>
      </c>
      <c r="W14" s="11">
        <v>5</v>
      </c>
      <c r="X14" s="11">
        <v>9</v>
      </c>
      <c r="Y14" s="13" t="str">
        <f t="shared" si="3"/>
        <v>Below Forecast</v>
      </c>
    </row>
    <row r="15" spans="1:25" x14ac:dyDescent="0.35">
      <c r="A15" s="4" t="s">
        <v>79</v>
      </c>
      <c r="B15" s="4" t="s">
        <v>414</v>
      </c>
      <c r="C15" s="4" t="s">
        <v>81</v>
      </c>
      <c r="D15" s="4" t="s">
        <v>82</v>
      </c>
      <c r="E15" s="4" t="s">
        <v>34</v>
      </c>
      <c r="F15" s="4" t="s">
        <v>415</v>
      </c>
      <c r="G15" s="5">
        <v>494</v>
      </c>
      <c r="H15" s="5">
        <v>3</v>
      </c>
      <c r="I15" s="6">
        <f t="shared" si="0"/>
        <v>491</v>
      </c>
      <c r="J15" s="5">
        <v>163</v>
      </c>
      <c r="K15" s="5">
        <v>140</v>
      </c>
      <c r="L15" s="5">
        <v>12500</v>
      </c>
      <c r="M15" s="7">
        <f t="shared" si="1"/>
        <v>3.952E-2</v>
      </c>
      <c r="N15" s="5">
        <v>118</v>
      </c>
      <c r="O15" s="5">
        <v>500</v>
      </c>
      <c r="P15" s="5">
        <v>2</v>
      </c>
      <c r="Q15" s="5">
        <v>75</v>
      </c>
      <c r="R15" s="8">
        <v>3.12</v>
      </c>
      <c r="S15" s="9">
        <f t="shared" si="2"/>
        <v>1541.28</v>
      </c>
      <c r="T15" s="4" t="s">
        <v>84</v>
      </c>
      <c r="U15" s="10">
        <v>46246</v>
      </c>
      <c r="V15" s="10">
        <v>46321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416</v>
      </c>
      <c r="C16" s="11" t="s">
        <v>81</v>
      </c>
      <c r="D16" s="11" t="s">
        <v>87</v>
      </c>
      <c r="E16" s="11" t="s">
        <v>34</v>
      </c>
      <c r="F16" s="11" t="s">
        <v>417</v>
      </c>
      <c r="G16" s="12">
        <v>481</v>
      </c>
      <c r="H16" s="12">
        <v>14</v>
      </c>
      <c r="I16" s="13">
        <f t="shared" si="0"/>
        <v>467</v>
      </c>
      <c r="J16" s="12">
        <v>164</v>
      </c>
      <c r="K16" s="12">
        <v>109</v>
      </c>
      <c r="L16" s="12">
        <v>12500</v>
      </c>
      <c r="M16" s="14">
        <f t="shared" si="1"/>
        <v>3.848E-2</v>
      </c>
      <c r="N16" s="12">
        <v>83</v>
      </c>
      <c r="O16" s="12">
        <v>360</v>
      </c>
      <c r="P16" s="12">
        <v>2</v>
      </c>
      <c r="Q16" s="12">
        <v>35</v>
      </c>
      <c r="R16" s="15">
        <v>1.61</v>
      </c>
      <c r="S16" s="16">
        <f t="shared" si="2"/>
        <v>774.41000000000008</v>
      </c>
      <c r="T16" s="11" t="s">
        <v>89</v>
      </c>
      <c r="U16" s="17">
        <v>46248</v>
      </c>
      <c r="V16" s="17">
        <v>46283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418</v>
      </c>
      <c r="C17" s="4" t="s">
        <v>81</v>
      </c>
      <c r="D17" s="4" t="s">
        <v>92</v>
      </c>
      <c r="E17" s="4" t="s">
        <v>69</v>
      </c>
      <c r="F17" s="4" t="s">
        <v>419</v>
      </c>
      <c r="G17" s="5">
        <v>525</v>
      </c>
      <c r="H17" s="5">
        <v>41</v>
      </c>
      <c r="I17" s="6">
        <f t="shared" si="0"/>
        <v>484</v>
      </c>
      <c r="J17" s="5">
        <v>87</v>
      </c>
      <c r="K17" s="5">
        <v>71</v>
      </c>
      <c r="L17" s="5">
        <v>12500</v>
      </c>
      <c r="M17" s="7">
        <f t="shared" si="1"/>
        <v>4.2000000000000003E-2</v>
      </c>
      <c r="N17" s="5">
        <v>210</v>
      </c>
      <c r="O17" s="5">
        <v>904</v>
      </c>
      <c r="P17" s="5">
        <v>2</v>
      </c>
      <c r="Q17" s="5">
        <v>12</v>
      </c>
      <c r="R17" s="8">
        <v>4.68</v>
      </c>
      <c r="S17" s="9">
        <f t="shared" si="2"/>
        <v>2457</v>
      </c>
      <c r="T17" s="4" t="s">
        <v>84</v>
      </c>
      <c r="U17" s="10">
        <v>46249</v>
      </c>
      <c r="V17" s="10">
        <v>46261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420</v>
      </c>
      <c r="C18" s="11" t="s">
        <v>81</v>
      </c>
      <c r="D18" s="11" t="s">
        <v>96</v>
      </c>
      <c r="E18" s="11" t="s">
        <v>97</v>
      </c>
      <c r="F18" s="11" t="s">
        <v>421</v>
      </c>
      <c r="G18" s="12">
        <v>309</v>
      </c>
      <c r="H18" s="12">
        <v>14</v>
      </c>
      <c r="I18" s="13">
        <f t="shared" si="0"/>
        <v>295</v>
      </c>
      <c r="J18" s="12">
        <v>210</v>
      </c>
      <c r="K18" s="12">
        <v>114</v>
      </c>
      <c r="L18" s="12">
        <v>12500</v>
      </c>
      <c r="M18" s="14">
        <f t="shared" si="1"/>
        <v>2.4719999999999999E-2</v>
      </c>
      <c r="N18" s="12">
        <v>153</v>
      </c>
      <c r="O18" s="12">
        <v>690</v>
      </c>
      <c r="P18" s="12">
        <v>1</v>
      </c>
      <c r="Q18" s="12">
        <v>7</v>
      </c>
      <c r="R18" s="15">
        <v>3.45</v>
      </c>
      <c r="S18" s="16">
        <f t="shared" si="2"/>
        <v>1066.05</v>
      </c>
      <c r="T18" s="11" t="s">
        <v>99</v>
      </c>
      <c r="U18" s="17">
        <v>46248</v>
      </c>
      <c r="V18" s="17">
        <v>46255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422</v>
      </c>
      <c r="C19" s="4" t="s">
        <v>81</v>
      </c>
      <c r="D19" s="4" t="s">
        <v>102</v>
      </c>
      <c r="E19" s="4" t="s">
        <v>34</v>
      </c>
      <c r="F19" s="4" t="s">
        <v>423</v>
      </c>
      <c r="G19" s="5">
        <v>402</v>
      </c>
      <c r="H19" s="5">
        <v>32</v>
      </c>
      <c r="I19" s="6">
        <f t="shared" si="0"/>
        <v>370</v>
      </c>
      <c r="J19" s="5">
        <v>206</v>
      </c>
      <c r="K19" s="5">
        <v>91</v>
      </c>
      <c r="L19" s="5">
        <v>12500</v>
      </c>
      <c r="M19" s="7">
        <f t="shared" si="1"/>
        <v>3.2160000000000001E-2</v>
      </c>
      <c r="N19" s="5">
        <v>97</v>
      </c>
      <c r="O19" s="5">
        <v>382</v>
      </c>
      <c r="P19" s="5">
        <v>2</v>
      </c>
      <c r="Q19" s="5">
        <v>14</v>
      </c>
      <c r="R19" s="8">
        <v>4.05</v>
      </c>
      <c r="S19" s="9">
        <f t="shared" si="2"/>
        <v>1628.1</v>
      </c>
      <c r="T19" s="4" t="s">
        <v>104</v>
      </c>
      <c r="U19" s="10">
        <v>46251</v>
      </c>
      <c r="V19" s="10">
        <v>46265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424</v>
      </c>
      <c r="C20" s="11" t="s">
        <v>81</v>
      </c>
      <c r="D20" s="11" t="s">
        <v>107</v>
      </c>
      <c r="E20" s="11" t="s">
        <v>69</v>
      </c>
      <c r="F20" s="11" t="s">
        <v>425</v>
      </c>
      <c r="G20" s="12">
        <v>126</v>
      </c>
      <c r="H20" s="12">
        <v>21</v>
      </c>
      <c r="I20" s="13">
        <f t="shared" si="0"/>
        <v>105</v>
      </c>
      <c r="J20" s="12">
        <v>180</v>
      </c>
      <c r="K20" s="12">
        <v>125</v>
      </c>
      <c r="L20" s="12">
        <v>12500</v>
      </c>
      <c r="M20" s="14">
        <f t="shared" si="1"/>
        <v>1.008E-2</v>
      </c>
      <c r="N20" s="12">
        <v>92</v>
      </c>
      <c r="O20" s="12">
        <v>386</v>
      </c>
      <c r="P20" s="12">
        <v>2</v>
      </c>
      <c r="Q20" s="12">
        <v>14</v>
      </c>
      <c r="R20" s="15">
        <v>4.13</v>
      </c>
      <c r="S20" s="16">
        <f t="shared" si="2"/>
        <v>520.38</v>
      </c>
      <c r="T20" s="11" t="s">
        <v>104</v>
      </c>
      <c r="U20" s="17">
        <v>46248</v>
      </c>
      <c r="V20" s="17">
        <v>46262</v>
      </c>
      <c r="W20" s="11">
        <v>8</v>
      </c>
      <c r="X20" s="11">
        <v>12</v>
      </c>
      <c r="Y20" s="13" t="str">
        <f t="shared" si="3"/>
        <v>Critical</v>
      </c>
    </row>
    <row r="21" spans="1:25" x14ac:dyDescent="0.35">
      <c r="A21" s="4" t="s">
        <v>109</v>
      </c>
      <c r="B21" s="4" t="s">
        <v>426</v>
      </c>
      <c r="C21" s="4" t="s">
        <v>81</v>
      </c>
      <c r="D21" s="4" t="s">
        <v>111</v>
      </c>
      <c r="E21" s="4" t="s">
        <v>112</v>
      </c>
      <c r="F21" s="4" t="s">
        <v>427</v>
      </c>
      <c r="G21" s="5">
        <v>212</v>
      </c>
      <c r="H21" s="5">
        <v>9</v>
      </c>
      <c r="I21" s="6">
        <f t="shared" si="0"/>
        <v>203</v>
      </c>
      <c r="J21" s="5">
        <v>137</v>
      </c>
      <c r="K21" s="5">
        <v>40</v>
      </c>
      <c r="L21" s="5">
        <v>12500</v>
      </c>
      <c r="M21" s="7">
        <f t="shared" si="1"/>
        <v>1.6959999999999999E-2</v>
      </c>
      <c r="N21" s="5">
        <v>282</v>
      </c>
      <c r="O21" s="5">
        <v>1203</v>
      </c>
      <c r="P21" s="5">
        <v>3</v>
      </c>
      <c r="Q21" s="5">
        <v>18</v>
      </c>
      <c r="R21" s="8">
        <v>3.95</v>
      </c>
      <c r="S21" s="9">
        <f t="shared" si="2"/>
        <v>837.40000000000009</v>
      </c>
      <c r="T21" s="4" t="s">
        <v>104</v>
      </c>
      <c r="U21" s="10">
        <v>46243</v>
      </c>
      <c r="V21" s="10">
        <v>46261</v>
      </c>
      <c r="W21" s="4">
        <v>7</v>
      </c>
      <c r="X21" s="4">
        <v>10</v>
      </c>
      <c r="Y21" s="6" t="str">
        <f t="shared" si="3"/>
        <v>Below Forecast</v>
      </c>
    </row>
    <row r="22" spans="1:25" x14ac:dyDescent="0.35">
      <c r="A22" s="11" t="s">
        <v>114</v>
      </c>
      <c r="B22" s="11" t="s">
        <v>428</v>
      </c>
      <c r="C22" s="11" t="s">
        <v>81</v>
      </c>
      <c r="D22" s="11" t="s">
        <v>116</v>
      </c>
      <c r="E22" s="11" t="s">
        <v>34</v>
      </c>
      <c r="F22" s="11" t="s">
        <v>429</v>
      </c>
      <c r="G22" s="12">
        <v>422</v>
      </c>
      <c r="H22" s="12">
        <v>80</v>
      </c>
      <c r="I22" s="13">
        <f t="shared" si="0"/>
        <v>342</v>
      </c>
      <c r="J22" s="12">
        <v>155</v>
      </c>
      <c r="K22" s="12">
        <v>133</v>
      </c>
      <c r="L22" s="12">
        <v>12500</v>
      </c>
      <c r="M22" s="14">
        <f t="shared" si="1"/>
        <v>3.3759999999999998E-2</v>
      </c>
      <c r="N22" s="12">
        <v>95</v>
      </c>
      <c r="O22" s="12">
        <v>423</v>
      </c>
      <c r="P22" s="12">
        <v>2</v>
      </c>
      <c r="Q22" s="12">
        <v>60</v>
      </c>
      <c r="R22" s="15">
        <v>1.97</v>
      </c>
      <c r="S22" s="16">
        <f t="shared" si="2"/>
        <v>831.34</v>
      </c>
      <c r="T22" s="11" t="s">
        <v>89</v>
      </c>
      <c r="U22" s="17">
        <v>46244</v>
      </c>
      <c r="V22" s="17">
        <v>46304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430</v>
      </c>
      <c r="C23" s="4" t="s">
        <v>81</v>
      </c>
      <c r="D23" s="4" t="s">
        <v>120</v>
      </c>
      <c r="E23" s="4" t="s">
        <v>34</v>
      </c>
      <c r="F23" s="4" t="s">
        <v>431</v>
      </c>
      <c r="G23" s="5">
        <v>431</v>
      </c>
      <c r="H23" s="5">
        <v>75</v>
      </c>
      <c r="I23" s="6">
        <f t="shared" si="0"/>
        <v>356</v>
      </c>
      <c r="J23" s="5">
        <v>195</v>
      </c>
      <c r="K23" s="5">
        <v>171</v>
      </c>
      <c r="L23" s="5">
        <v>12500</v>
      </c>
      <c r="M23" s="7">
        <f t="shared" si="1"/>
        <v>3.4479999999999997E-2</v>
      </c>
      <c r="N23" s="5">
        <v>148</v>
      </c>
      <c r="O23" s="5">
        <v>555</v>
      </c>
      <c r="P23" s="5">
        <v>2</v>
      </c>
      <c r="Q23" s="5">
        <v>12</v>
      </c>
      <c r="R23" s="8">
        <v>1.17</v>
      </c>
      <c r="S23" s="9">
        <f t="shared" si="2"/>
        <v>504.27</v>
      </c>
      <c r="T23" s="4" t="s">
        <v>84</v>
      </c>
      <c r="U23" s="10">
        <v>46247</v>
      </c>
      <c r="V23" s="10">
        <v>46259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432</v>
      </c>
      <c r="C24" s="11" t="s">
        <v>32</v>
      </c>
      <c r="D24" s="11" t="s">
        <v>124</v>
      </c>
      <c r="E24" s="11" t="s">
        <v>69</v>
      </c>
      <c r="F24" s="11" t="s">
        <v>433</v>
      </c>
      <c r="G24" s="12">
        <v>625</v>
      </c>
      <c r="H24" s="12">
        <v>72</v>
      </c>
      <c r="I24" s="13">
        <f t="shared" si="0"/>
        <v>553</v>
      </c>
      <c r="J24" s="12">
        <v>137</v>
      </c>
      <c r="K24" s="12">
        <v>40</v>
      </c>
      <c r="L24" s="12">
        <v>12500</v>
      </c>
      <c r="M24" s="14">
        <f t="shared" si="1"/>
        <v>0.05</v>
      </c>
      <c r="N24" s="12">
        <v>178</v>
      </c>
      <c r="O24" s="12">
        <v>730</v>
      </c>
      <c r="P24" s="12">
        <v>5</v>
      </c>
      <c r="Q24" s="12">
        <v>10</v>
      </c>
      <c r="R24" s="15">
        <v>0.98</v>
      </c>
      <c r="S24" s="16">
        <f t="shared" si="2"/>
        <v>612.5</v>
      </c>
      <c r="T24" s="11" t="s">
        <v>41</v>
      </c>
      <c r="U24" s="17">
        <v>46250</v>
      </c>
      <c r="V24" s="17">
        <v>46260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434</v>
      </c>
      <c r="C25" s="4" t="s">
        <v>81</v>
      </c>
      <c r="D25" s="4" t="s">
        <v>128</v>
      </c>
      <c r="E25" s="4" t="s">
        <v>69</v>
      </c>
      <c r="F25" s="4" t="s">
        <v>435</v>
      </c>
      <c r="G25" s="5">
        <v>114</v>
      </c>
      <c r="H25" s="5">
        <v>2</v>
      </c>
      <c r="I25" s="6">
        <f t="shared" si="0"/>
        <v>112</v>
      </c>
      <c r="J25" s="5">
        <v>90</v>
      </c>
      <c r="K25" s="5">
        <v>67</v>
      </c>
      <c r="L25" s="5">
        <v>12500</v>
      </c>
      <c r="M25" s="7">
        <f t="shared" si="1"/>
        <v>9.1199999999999996E-3</v>
      </c>
      <c r="N25" s="5">
        <v>240</v>
      </c>
      <c r="O25" s="5">
        <v>1053</v>
      </c>
      <c r="P25" s="5">
        <v>2</v>
      </c>
      <c r="Q25" s="5">
        <v>12</v>
      </c>
      <c r="R25" s="8">
        <v>0.77</v>
      </c>
      <c r="S25" s="9">
        <f t="shared" si="2"/>
        <v>87.78</v>
      </c>
      <c r="T25" s="4" t="s">
        <v>84</v>
      </c>
      <c r="U25" s="10">
        <v>46247</v>
      </c>
      <c r="V25" s="10">
        <v>46259</v>
      </c>
      <c r="W25" s="4">
        <v>1</v>
      </c>
      <c r="X25" s="4">
        <v>5</v>
      </c>
      <c r="Y25" s="6" t="str">
        <f t="shared" si="3"/>
        <v>Below Forecast</v>
      </c>
    </row>
    <row r="26" spans="1:25" x14ac:dyDescent="0.35">
      <c r="A26" s="11" t="s">
        <v>130</v>
      </c>
      <c r="B26" s="11" t="s">
        <v>436</v>
      </c>
      <c r="C26" s="11" t="s">
        <v>81</v>
      </c>
      <c r="D26" s="11" t="s">
        <v>132</v>
      </c>
      <c r="E26" s="11" t="s">
        <v>34</v>
      </c>
      <c r="F26" s="11" t="s">
        <v>437</v>
      </c>
      <c r="G26" s="12">
        <v>196</v>
      </c>
      <c r="H26" s="12">
        <v>48</v>
      </c>
      <c r="I26" s="13">
        <f t="shared" si="0"/>
        <v>148</v>
      </c>
      <c r="J26" s="12">
        <v>190</v>
      </c>
      <c r="K26" s="12">
        <v>94</v>
      </c>
      <c r="L26" s="12">
        <v>12500</v>
      </c>
      <c r="M26" s="14">
        <f t="shared" si="1"/>
        <v>1.5679999999999999E-2</v>
      </c>
      <c r="N26" s="12">
        <v>121</v>
      </c>
      <c r="O26" s="12">
        <v>414</v>
      </c>
      <c r="P26" s="12">
        <v>3</v>
      </c>
      <c r="Q26" s="12">
        <v>40</v>
      </c>
      <c r="R26" s="15">
        <v>1.28</v>
      </c>
      <c r="S26" s="16">
        <f t="shared" si="2"/>
        <v>250.88</v>
      </c>
      <c r="T26" s="11" t="s">
        <v>89</v>
      </c>
      <c r="U26" s="17">
        <v>46244</v>
      </c>
      <c r="V26" s="17">
        <v>46284</v>
      </c>
      <c r="W26" s="11">
        <v>8</v>
      </c>
      <c r="X26" s="11">
        <v>13</v>
      </c>
      <c r="Y26" s="13" t="str">
        <f t="shared" si="3"/>
        <v>Reorder</v>
      </c>
    </row>
    <row r="27" spans="1:25" x14ac:dyDescent="0.35">
      <c r="A27" s="4" t="s">
        <v>134</v>
      </c>
      <c r="B27" s="4" t="s">
        <v>438</v>
      </c>
      <c r="C27" s="4" t="s">
        <v>32</v>
      </c>
      <c r="D27" s="4" t="s">
        <v>136</v>
      </c>
      <c r="E27" s="4" t="s">
        <v>112</v>
      </c>
      <c r="F27" s="4" t="s">
        <v>439</v>
      </c>
      <c r="G27" s="5">
        <v>112</v>
      </c>
      <c r="H27" s="5">
        <v>15</v>
      </c>
      <c r="I27" s="6">
        <f t="shared" si="0"/>
        <v>97</v>
      </c>
      <c r="J27" s="5">
        <v>115</v>
      </c>
      <c r="K27" s="5">
        <v>52</v>
      </c>
      <c r="L27" s="5">
        <v>12500</v>
      </c>
      <c r="M27" s="7">
        <f t="shared" si="1"/>
        <v>8.9599999999999992E-3</v>
      </c>
      <c r="N27" s="5">
        <v>267</v>
      </c>
      <c r="O27" s="5">
        <v>1039</v>
      </c>
      <c r="P27" s="5">
        <v>5</v>
      </c>
      <c r="Q27" s="5">
        <v>28</v>
      </c>
      <c r="R27" s="8">
        <v>4.22</v>
      </c>
      <c r="S27" s="9">
        <f t="shared" si="2"/>
        <v>472.64</v>
      </c>
      <c r="T27" s="4" t="s">
        <v>65</v>
      </c>
      <c r="U27" s="10">
        <v>46251</v>
      </c>
      <c r="V27" s="10">
        <v>46279</v>
      </c>
      <c r="W27" s="4">
        <v>2</v>
      </c>
      <c r="X27" s="4">
        <v>6</v>
      </c>
      <c r="Y27" s="6" t="str">
        <f t="shared" si="3"/>
        <v>Reorder</v>
      </c>
    </row>
    <row r="28" spans="1:25" x14ac:dyDescent="0.35">
      <c r="A28" s="11" t="s">
        <v>138</v>
      </c>
      <c r="B28" s="11" t="s">
        <v>440</v>
      </c>
      <c r="C28" s="11" t="s">
        <v>32</v>
      </c>
      <c r="D28" s="11" t="s">
        <v>140</v>
      </c>
      <c r="E28" s="11" t="s">
        <v>54</v>
      </c>
      <c r="F28" s="11" t="s">
        <v>441</v>
      </c>
      <c r="G28" s="12">
        <v>526</v>
      </c>
      <c r="H28" s="12">
        <v>18</v>
      </c>
      <c r="I28" s="13">
        <f t="shared" si="0"/>
        <v>508</v>
      </c>
      <c r="J28" s="12">
        <v>99</v>
      </c>
      <c r="K28" s="12">
        <v>81</v>
      </c>
      <c r="L28" s="12">
        <v>12500</v>
      </c>
      <c r="M28" s="14">
        <f t="shared" si="1"/>
        <v>4.2079999999999999E-2</v>
      </c>
      <c r="N28" s="12">
        <v>203</v>
      </c>
      <c r="O28" s="12">
        <v>744</v>
      </c>
      <c r="P28" s="12">
        <v>1</v>
      </c>
      <c r="Q28" s="12">
        <v>6</v>
      </c>
      <c r="R28" s="15">
        <v>4.41</v>
      </c>
      <c r="S28" s="16">
        <f t="shared" si="2"/>
        <v>2319.66</v>
      </c>
      <c r="T28" s="11" t="s">
        <v>56</v>
      </c>
      <c r="U28" s="17">
        <v>46249</v>
      </c>
      <c r="V28" s="17">
        <v>46255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11" priority="2">
      <formula>Y5="Critical"</formula>
    </cfRule>
    <cfRule type="expression" dxfId="10" priority="3">
      <formula>Y5="Reorder"</formula>
    </cfRule>
    <cfRule type="expression" dxfId="9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442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443</v>
      </c>
      <c r="D3" s="1" t="s">
        <v>4</v>
      </c>
      <c r="E3" s="2">
        <v>24</v>
      </c>
      <c r="G3" s="1" t="s">
        <v>5</v>
      </c>
      <c r="H3" s="2">
        <v>12000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444</v>
      </c>
      <c r="C5" s="4" t="s">
        <v>32</v>
      </c>
      <c r="D5" s="4" t="s">
        <v>33</v>
      </c>
      <c r="E5" s="4" t="s">
        <v>34</v>
      </c>
      <c r="F5" s="4" t="s">
        <v>445</v>
      </c>
      <c r="G5" s="5">
        <v>110</v>
      </c>
      <c r="H5" s="5">
        <v>24</v>
      </c>
      <c r="I5" s="6">
        <f t="shared" ref="I5:I28" si="0">G5-H5</f>
        <v>86</v>
      </c>
      <c r="J5" s="5">
        <v>178</v>
      </c>
      <c r="K5" s="5">
        <v>48</v>
      </c>
      <c r="L5" s="5">
        <v>12000</v>
      </c>
      <c r="M5" s="7">
        <f t="shared" ref="M5:M28" si="1">G5/L5</f>
        <v>9.1666666666666667E-3</v>
      </c>
      <c r="N5" s="5">
        <v>197</v>
      </c>
      <c r="O5" s="5">
        <v>842</v>
      </c>
      <c r="P5" s="5">
        <v>2</v>
      </c>
      <c r="Q5" s="5">
        <v>45</v>
      </c>
      <c r="R5" s="8">
        <v>1.89</v>
      </c>
      <c r="S5" s="9">
        <f t="shared" ref="S5:S28" si="2">G5*R5</f>
        <v>207.89999999999998</v>
      </c>
      <c r="T5" s="4" t="s">
        <v>36</v>
      </c>
      <c r="U5" s="10">
        <v>46250</v>
      </c>
      <c r="V5" s="10">
        <v>46295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Reorder</v>
      </c>
    </row>
    <row r="6" spans="1:25" x14ac:dyDescent="0.35">
      <c r="A6" s="11" t="s">
        <v>37</v>
      </c>
      <c r="B6" s="11" t="s">
        <v>446</v>
      </c>
      <c r="C6" s="11" t="s">
        <v>32</v>
      </c>
      <c r="D6" s="11" t="s">
        <v>39</v>
      </c>
      <c r="E6" s="11" t="s">
        <v>34</v>
      </c>
      <c r="F6" s="11" t="s">
        <v>447</v>
      </c>
      <c r="G6" s="12">
        <v>270</v>
      </c>
      <c r="H6" s="12">
        <v>63</v>
      </c>
      <c r="I6" s="13">
        <f t="shared" si="0"/>
        <v>207</v>
      </c>
      <c r="J6" s="12">
        <v>108</v>
      </c>
      <c r="K6" s="12">
        <v>75</v>
      </c>
      <c r="L6" s="12">
        <v>12000</v>
      </c>
      <c r="M6" s="14">
        <f t="shared" si="1"/>
        <v>2.2499999999999999E-2</v>
      </c>
      <c r="N6" s="12">
        <v>282</v>
      </c>
      <c r="O6" s="12">
        <v>1200</v>
      </c>
      <c r="P6" s="12">
        <v>5</v>
      </c>
      <c r="Q6" s="12">
        <v>18</v>
      </c>
      <c r="R6" s="15">
        <v>4.3499999999999996</v>
      </c>
      <c r="S6" s="16">
        <f t="shared" si="2"/>
        <v>1174.5</v>
      </c>
      <c r="T6" s="11" t="s">
        <v>41</v>
      </c>
      <c r="U6" s="17">
        <v>46243</v>
      </c>
      <c r="V6" s="17">
        <v>46261</v>
      </c>
      <c r="W6" s="11">
        <v>13</v>
      </c>
      <c r="X6" s="11">
        <v>18</v>
      </c>
      <c r="Y6" s="13" t="str">
        <f t="shared" si="3"/>
        <v>Below Forecast</v>
      </c>
    </row>
    <row r="7" spans="1:25" x14ac:dyDescent="0.35">
      <c r="A7" s="4" t="s">
        <v>42</v>
      </c>
      <c r="B7" s="4" t="s">
        <v>448</v>
      </c>
      <c r="C7" s="4" t="s">
        <v>32</v>
      </c>
      <c r="D7" s="4" t="s">
        <v>44</v>
      </c>
      <c r="E7" s="4" t="s">
        <v>34</v>
      </c>
      <c r="F7" s="4" t="s">
        <v>449</v>
      </c>
      <c r="G7" s="5">
        <v>568</v>
      </c>
      <c r="H7" s="5">
        <v>30</v>
      </c>
      <c r="I7" s="6">
        <f t="shared" si="0"/>
        <v>538</v>
      </c>
      <c r="J7" s="5">
        <v>114</v>
      </c>
      <c r="K7" s="5">
        <v>30</v>
      </c>
      <c r="L7" s="5">
        <v>12000</v>
      </c>
      <c r="M7" s="7">
        <f t="shared" si="1"/>
        <v>4.7333333333333331E-2</v>
      </c>
      <c r="N7" s="5">
        <v>277</v>
      </c>
      <c r="O7" s="5">
        <v>1080</v>
      </c>
      <c r="P7" s="5">
        <v>3</v>
      </c>
      <c r="Q7" s="5">
        <v>38</v>
      </c>
      <c r="R7" s="8">
        <v>3.51</v>
      </c>
      <c r="S7" s="9">
        <f t="shared" si="2"/>
        <v>1993.6799999999998</v>
      </c>
      <c r="T7" s="4" t="s">
        <v>46</v>
      </c>
      <c r="U7" s="10">
        <v>46250</v>
      </c>
      <c r="V7" s="10">
        <v>46288</v>
      </c>
      <c r="W7" s="4">
        <v>4</v>
      </c>
      <c r="X7" s="4">
        <v>8</v>
      </c>
      <c r="Y7" s="6" t="str">
        <f t="shared" si="3"/>
        <v>Healthy</v>
      </c>
    </row>
    <row r="8" spans="1:25" x14ac:dyDescent="0.35">
      <c r="A8" s="11" t="s">
        <v>47</v>
      </c>
      <c r="B8" s="11" t="s">
        <v>450</v>
      </c>
      <c r="C8" s="11" t="s">
        <v>32</v>
      </c>
      <c r="D8" s="11" t="s">
        <v>49</v>
      </c>
      <c r="E8" s="11" t="s">
        <v>34</v>
      </c>
      <c r="F8" s="11" t="s">
        <v>451</v>
      </c>
      <c r="G8" s="12">
        <v>214</v>
      </c>
      <c r="H8" s="12">
        <v>11</v>
      </c>
      <c r="I8" s="13">
        <f t="shared" si="0"/>
        <v>203</v>
      </c>
      <c r="J8" s="12">
        <v>80</v>
      </c>
      <c r="K8" s="12">
        <v>40</v>
      </c>
      <c r="L8" s="12">
        <v>12000</v>
      </c>
      <c r="M8" s="14">
        <f t="shared" si="1"/>
        <v>1.7833333333333333E-2</v>
      </c>
      <c r="N8" s="12">
        <v>270</v>
      </c>
      <c r="O8" s="12">
        <v>1157</v>
      </c>
      <c r="P8" s="12">
        <v>3</v>
      </c>
      <c r="Q8" s="12">
        <v>35</v>
      </c>
      <c r="R8" s="15">
        <v>2.48</v>
      </c>
      <c r="S8" s="16">
        <f t="shared" si="2"/>
        <v>530.72</v>
      </c>
      <c r="T8" s="11" t="s">
        <v>36</v>
      </c>
      <c r="U8" s="17">
        <v>46246</v>
      </c>
      <c r="V8" s="17">
        <v>46281</v>
      </c>
      <c r="W8" s="11">
        <v>1</v>
      </c>
      <c r="X8" s="11">
        <v>5</v>
      </c>
      <c r="Y8" s="13" t="str">
        <f t="shared" si="3"/>
        <v>Below Forecast</v>
      </c>
    </row>
    <row r="9" spans="1:25" x14ac:dyDescent="0.35">
      <c r="A9" s="4" t="s">
        <v>51</v>
      </c>
      <c r="B9" s="4" t="s">
        <v>452</v>
      </c>
      <c r="C9" s="4" t="s">
        <v>32</v>
      </c>
      <c r="D9" s="4" t="s">
        <v>53</v>
      </c>
      <c r="E9" s="4" t="s">
        <v>54</v>
      </c>
      <c r="F9" s="4" t="s">
        <v>453</v>
      </c>
      <c r="G9" s="5">
        <v>234</v>
      </c>
      <c r="H9" s="5">
        <v>22</v>
      </c>
      <c r="I9" s="6">
        <f t="shared" si="0"/>
        <v>212</v>
      </c>
      <c r="J9" s="5">
        <v>108</v>
      </c>
      <c r="K9" s="5">
        <v>44</v>
      </c>
      <c r="L9" s="5">
        <v>12000</v>
      </c>
      <c r="M9" s="7">
        <f t="shared" si="1"/>
        <v>1.95E-2</v>
      </c>
      <c r="N9" s="5">
        <v>83</v>
      </c>
      <c r="O9" s="5">
        <v>312</v>
      </c>
      <c r="P9" s="5">
        <v>1</v>
      </c>
      <c r="Q9" s="5">
        <v>7</v>
      </c>
      <c r="R9" s="8">
        <v>2.84</v>
      </c>
      <c r="S9" s="9">
        <f t="shared" si="2"/>
        <v>664.56</v>
      </c>
      <c r="T9" s="4" t="s">
        <v>56</v>
      </c>
      <c r="U9" s="10">
        <v>46248</v>
      </c>
      <c r="V9" s="10">
        <v>46255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454</v>
      </c>
      <c r="C10" s="11" t="s">
        <v>32</v>
      </c>
      <c r="D10" s="11" t="s">
        <v>59</v>
      </c>
      <c r="E10" s="11" t="s">
        <v>54</v>
      </c>
      <c r="F10" s="11" t="s">
        <v>455</v>
      </c>
      <c r="G10" s="12">
        <v>321</v>
      </c>
      <c r="H10" s="12">
        <v>34</v>
      </c>
      <c r="I10" s="13">
        <f t="shared" si="0"/>
        <v>287</v>
      </c>
      <c r="J10" s="12">
        <v>162</v>
      </c>
      <c r="K10" s="12">
        <v>75</v>
      </c>
      <c r="L10" s="12">
        <v>12000</v>
      </c>
      <c r="M10" s="14">
        <f t="shared" si="1"/>
        <v>2.6749999999999999E-2</v>
      </c>
      <c r="N10" s="12">
        <v>230</v>
      </c>
      <c r="O10" s="12">
        <v>878</v>
      </c>
      <c r="P10" s="12">
        <v>2</v>
      </c>
      <c r="Q10" s="12">
        <v>14</v>
      </c>
      <c r="R10" s="15">
        <v>3.73</v>
      </c>
      <c r="S10" s="16">
        <f t="shared" si="2"/>
        <v>1197.33</v>
      </c>
      <c r="T10" s="11" t="s">
        <v>56</v>
      </c>
      <c r="U10" s="17">
        <v>46244</v>
      </c>
      <c r="V10" s="17">
        <v>46258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456</v>
      </c>
      <c r="C11" s="4" t="s">
        <v>32</v>
      </c>
      <c r="D11" s="4" t="s">
        <v>63</v>
      </c>
      <c r="E11" s="4" t="s">
        <v>54</v>
      </c>
      <c r="F11" s="4" t="s">
        <v>457</v>
      </c>
      <c r="G11" s="5">
        <v>365</v>
      </c>
      <c r="H11" s="5">
        <v>17</v>
      </c>
      <c r="I11" s="6">
        <f t="shared" si="0"/>
        <v>348</v>
      </c>
      <c r="J11" s="5">
        <v>156</v>
      </c>
      <c r="K11" s="5">
        <v>119</v>
      </c>
      <c r="L11" s="5">
        <v>12000</v>
      </c>
      <c r="M11" s="7">
        <f t="shared" si="1"/>
        <v>3.0416666666666668E-2</v>
      </c>
      <c r="N11" s="5">
        <v>158</v>
      </c>
      <c r="O11" s="5">
        <v>562</v>
      </c>
      <c r="P11" s="5">
        <v>3</v>
      </c>
      <c r="Q11" s="5">
        <v>21</v>
      </c>
      <c r="R11" s="8">
        <v>1.75</v>
      </c>
      <c r="S11" s="9">
        <f t="shared" si="2"/>
        <v>638.75</v>
      </c>
      <c r="T11" s="4" t="s">
        <v>65</v>
      </c>
      <c r="U11" s="10">
        <v>46247</v>
      </c>
      <c r="V11" s="10">
        <v>46268</v>
      </c>
      <c r="W11" s="4">
        <v>2</v>
      </c>
      <c r="X11" s="4">
        <v>7</v>
      </c>
      <c r="Y11" s="6" t="str">
        <f t="shared" si="3"/>
        <v>Healthy</v>
      </c>
    </row>
    <row r="12" spans="1:25" x14ac:dyDescent="0.35">
      <c r="A12" s="11" t="s">
        <v>66</v>
      </c>
      <c r="B12" s="11" t="s">
        <v>458</v>
      </c>
      <c r="C12" s="11" t="s">
        <v>32</v>
      </c>
      <c r="D12" s="11" t="s">
        <v>68</v>
      </c>
      <c r="E12" s="11" t="s">
        <v>69</v>
      </c>
      <c r="F12" s="11" t="s">
        <v>459</v>
      </c>
      <c r="G12" s="12">
        <v>139</v>
      </c>
      <c r="H12" s="12">
        <v>40</v>
      </c>
      <c r="I12" s="13">
        <f t="shared" si="0"/>
        <v>99</v>
      </c>
      <c r="J12" s="12">
        <v>214</v>
      </c>
      <c r="K12" s="12">
        <v>192</v>
      </c>
      <c r="L12" s="12">
        <v>12000</v>
      </c>
      <c r="M12" s="14">
        <f t="shared" si="1"/>
        <v>1.1583333333333333E-2</v>
      </c>
      <c r="N12" s="12">
        <v>224</v>
      </c>
      <c r="O12" s="12">
        <v>934</v>
      </c>
      <c r="P12" s="12">
        <v>5</v>
      </c>
      <c r="Q12" s="12">
        <v>14</v>
      </c>
      <c r="R12" s="15">
        <v>2.0499999999999998</v>
      </c>
      <c r="S12" s="16">
        <f t="shared" si="2"/>
        <v>284.95</v>
      </c>
      <c r="T12" s="11" t="s">
        <v>41</v>
      </c>
      <c r="U12" s="17">
        <v>46251</v>
      </c>
      <c r="V12" s="17">
        <v>46265</v>
      </c>
      <c r="W12" s="11">
        <v>10</v>
      </c>
      <c r="X12" s="11">
        <v>14</v>
      </c>
      <c r="Y12" s="13" t="str">
        <f t="shared" si="3"/>
        <v>Critical</v>
      </c>
    </row>
    <row r="13" spans="1:25" x14ac:dyDescent="0.35">
      <c r="A13" s="4" t="s">
        <v>71</v>
      </c>
      <c r="B13" s="4" t="s">
        <v>460</v>
      </c>
      <c r="C13" s="4" t="s">
        <v>32</v>
      </c>
      <c r="D13" s="4" t="s">
        <v>73</v>
      </c>
      <c r="E13" s="4" t="s">
        <v>69</v>
      </c>
      <c r="F13" s="4" t="s">
        <v>461</v>
      </c>
      <c r="G13" s="5">
        <v>99</v>
      </c>
      <c r="H13" s="5">
        <v>23</v>
      </c>
      <c r="I13" s="6">
        <f t="shared" si="0"/>
        <v>76</v>
      </c>
      <c r="J13" s="5">
        <v>142</v>
      </c>
      <c r="K13" s="5">
        <v>94</v>
      </c>
      <c r="L13" s="5">
        <v>12000</v>
      </c>
      <c r="M13" s="7">
        <f t="shared" si="1"/>
        <v>8.2500000000000004E-3</v>
      </c>
      <c r="N13" s="5">
        <v>80</v>
      </c>
      <c r="O13" s="5">
        <v>387</v>
      </c>
      <c r="P13" s="5">
        <v>6</v>
      </c>
      <c r="Q13" s="5">
        <v>18</v>
      </c>
      <c r="R13" s="8">
        <v>1.58</v>
      </c>
      <c r="S13" s="9">
        <f t="shared" si="2"/>
        <v>156.42000000000002</v>
      </c>
      <c r="T13" s="4" t="s">
        <v>41</v>
      </c>
      <c r="U13" s="10">
        <v>46249</v>
      </c>
      <c r="V13" s="10">
        <v>46267</v>
      </c>
      <c r="W13" s="4">
        <v>8</v>
      </c>
      <c r="X13" s="4">
        <v>13</v>
      </c>
      <c r="Y13" s="6" t="str">
        <f t="shared" si="3"/>
        <v>Critical</v>
      </c>
    </row>
    <row r="14" spans="1:25" x14ac:dyDescent="0.35">
      <c r="A14" s="11" t="s">
        <v>75</v>
      </c>
      <c r="B14" s="11" t="s">
        <v>462</v>
      </c>
      <c r="C14" s="11" t="s">
        <v>32</v>
      </c>
      <c r="D14" s="11" t="s">
        <v>77</v>
      </c>
      <c r="E14" s="11" t="s">
        <v>34</v>
      </c>
      <c r="F14" s="11" t="s">
        <v>463</v>
      </c>
      <c r="G14" s="12">
        <v>532</v>
      </c>
      <c r="H14" s="12">
        <v>47</v>
      </c>
      <c r="I14" s="13">
        <f t="shared" si="0"/>
        <v>485</v>
      </c>
      <c r="J14" s="12">
        <v>135</v>
      </c>
      <c r="K14" s="12">
        <v>98</v>
      </c>
      <c r="L14" s="12">
        <v>12000</v>
      </c>
      <c r="M14" s="14">
        <f t="shared" si="1"/>
        <v>4.4333333333333336E-2</v>
      </c>
      <c r="N14" s="12">
        <v>237</v>
      </c>
      <c r="O14" s="12">
        <v>919</v>
      </c>
      <c r="P14" s="12">
        <v>3</v>
      </c>
      <c r="Q14" s="12">
        <v>42</v>
      </c>
      <c r="R14" s="15">
        <v>3.01</v>
      </c>
      <c r="S14" s="16">
        <f t="shared" si="2"/>
        <v>1601.32</v>
      </c>
      <c r="T14" s="11" t="s">
        <v>46</v>
      </c>
      <c r="U14" s="17">
        <v>46243</v>
      </c>
      <c r="V14" s="17">
        <v>46285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464</v>
      </c>
      <c r="C15" s="4" t="s">
        <v>81</v>
      </c>
      <c r="D15" s="4" t="s">
        <v>82</v>
      </c>
      <c r="E15" s="4" t="s">
        <v>34</v>
      </c>
      <c r="F15" s="4" t="s">
        <v>465</v>
      </c>
      <c r="G15" s="5">
        <v>646</v>
      </c>
      <c r="H15" s="5">
        <v>68</v>
      </c>
      <c r="I15" s="6">
        <f t="shared" si="0"/>
        <v>578</v>
      </c>
      <c r="J15" s="5">
        <v>202</v>
      </c>
      <c r="K15" s="5">
        <v>37</v>
      </c>
      <c r="L15" s="5">
        <v>12000</v>
      </c>
      <c r="M15" s="7">
        <f t="shared" si="1"/>
        <v>5.383333333333333E-2</v>
      </c>
      <c r="N15" s="5">
        <v>101</v>
      </c>
      <c r="O15" s="5">
        <v>423</v>
      </c>
      <c r="P15" s="5">
        <v>2</v>
      </c>
      <c r="Q15" s="5">
        <v>75</v>
      </c>
      <c r="R15" s="8">
        <v>4.24</v>
      </c>
      <c r="S15" s="9">
        <f t="shared" si="2"/>
        <v>2739.04</v>
      </c>
      <c r="T15" s="4" t="s">
        <v>84</v>
      </c>
      <c r="U15" s="10">
        <v>46245</v>
      </c>
      <c r="V15" s="10">
        <v>46320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466</v>
      </c>
      <c r="C16" s="11" t="s">
        <v>81</v>
      </c>
      <c r="D16" s="11" t="s">
        <v>87</v>
      </c>
      <c r="E16" s="11" t="s">
        <v>34</v>
      </c>
      <c r="F16" s="11" t="s">
        <v>467</v>
      </c>
      <c r="G16" s="12">
        <v>602</v>
      </c>
      <c r="H16" s="12">
        <v>41</v>
      </c>
      <c r="I16" s="13">
        <f t="shared" si="0"/>
        <v>561</v>
      </c>
      <c r="J16" s="12">
        <v>140</v>
      </c>
      <c r="K16" s="12">
        <v>30</v>
      </c>
      <c r="L16" s="12">
        <v>12000</v>
      </c>
      <c r="M16" s="14">
        <f t="shared" si="1"/>
        <v>5.0166666666666665E-2</v>
      </c>
      <c r="N16" s="12">
        <v>299</v>
      </c>
      <c r="O16" s="12">
        <v>1199</v>
      </c>
      <c r="P16" s="12">
        <v>2</v>
      </c>
      <c r="Q16" s="12">
        <v>35</v>
      </c>
      <c r="R16" s="15">
        <v>4.7300000000000004</v>
      </c>
      <c r="S16" s="16">
        <f t="shared" si="2"/>
        <v>2847.46</v>
      </c>
      <c r="T16" s="11" t="s">
        <v>89</v>
      </c>
      <c r="U16" s="17">
        <v>46251</v>
      </c>
      <c r="V16" s="17">
        <v>46286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468</v>
      </c>
      <c r="C17" s="4" t="s">
        <v>81</v>
      </c>
      <c r="D17" s="4" t="s">
        <v>92</v>
      </c>
      <c r="E17" s="4" t="s">
        <v>69</v>
      </c>
      <c r="F17" s="4" t="s">
        <v>469</v>
      </c>
      <c r="G17" s="5">
        <v>613</v>
      </c>
      <c r="H17" s="5">
        <v>45</v>
      </c>
      <c r="I17" s="6">
        <f t="shared" si="0"/>
        <v>568</v>
      </c>
      <c r="J17" s="5">
        <v>209</v>
      </c>
      <c r="K17" s="5">
        <v>32</v>
      </c>
      <c r="L17" s="5">
        <v>12000</v>
      </c>
      <c r="M17" s="7">
        <f t="shared" si="1"/>
        <v>5.1083333333333335E-2</v>
      </c>
      <c r="N17" s="5">
        <v>132</v>
      </c>
      <c r="O17" s="5">
        <v>602</v>
      </c>
      <c r="P17" s="5">
        <v>2</v>
      </c>
      <c r="Q17" s="5">
        <v>12</v>
      </c>
      <c r="R17" s="8">
        <v>2.0299999999999998</v>
      </c>
      <c r="S17" s="9">
        <f t="shared" si="2"/>
        <v>1244.3899999999999</v>
      </c>
      <c r="T17" s="4" t="s">
        <v>84</v>
      </c>
      <c r="U17" s="10">
        <v>46246</v>
      </c>
      <c r="V17" s="10">
        <v>46258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470</v>
      </c>
      <c r="C18" s="11" t="s">
        <v>81</v>
      </c>
      <c r="D18" s="11" t="s">
        <v>96</v>
      </c>
      <c r="E18" s="11" t="s">
        <v>97</v>
      </c>
      <c r="F18" s="11" t="s">
        <v>471</v>
      </c>
      <c r="G18" s="12">
        <v>116</v>
      </c>
      <c r="H18" s="12">
        <v>24</v>
      </c>
      <c r="I18" s="13">
        <f t="shared" si="0"/>
        <v>92</v>
      </c>
      <c r="J18" s="12">
        <v>126</v>
      </c>
      <c r="K18" s="12">
        <v>45</v>
      </c>
      <c r="L18" s="12">
        <v>12000</v>
      </c>
      <c r="M18" s="14">
        <f t="shared" si="1"/>
        <v>9.6666666666666672E-3</v>
      </c>
      <c r="N18" s="12">
        <v>153</v>
      </c>
      <c r="O18" s="12">
        <v>595</v>
      </c>
      <c r="P18" s="12">
        <v>1</v>
      </c>
      <c r="Q18" s="12">
        <v>7</v>
      </c>
      <c r="R18" s="15">
        <v>4.24</v>
      </c>
      <c r="S18" s="16">
        <f t="shared" si="2"/>
        <v>491.84000000000003</v>
      </c>
      <c r="T18" s="11" t="s">
        <v>99</v>
      </c>
      <c r="U18" s="17">
        <v>46250</v>
      </c>
      <c r="V18" s="17">
        <v>46257</v>
      </c>
      <c r="W18" s="11">
        <v>2</v>
      </c>
      <c r="X18" s="11">
        <v>5</v>
      </c>
      <c r="Y18" s="13" t="str">
        <f t="shared" si="3"/>
        <v>Reorder</v>
      </c>
    </row>
    <row r="19" spans="1:25" x14ac:dyDescent="0.35">
      <c r="A19" s="4" t="s">
        <v>100</v>
      </c>
      <c r="B19" s="4" t="s">
        <v>472</v>
      </c>
      <c r="C19" s="4" t="s">
        <v>81</v>
      </c>
      <c r="D19" s="4" t="s">
        <v>102</v>
      </c>
      <c r="E19" s="4" t="s">
        <v>34</v>
      </c>
      <c r="F19" s="4" t="s">
        <v>473</v>
      </c>
      <c r="G19" s="5">
        <v>416</v>
      </c>
      <c r="H19" s="5">
        <v>16</v>
      </c>
      <c r="I19" s="6">
        <f t="shared" si="0"/>
        <v>400</v>
      </c>
      <c r="J19" s="5">
        <v>106</v>
      </c>
      <c r="K19" s="5">
        <v>68</v>
      </c>
      <c r="L19" s="5">
        <v>12000</v>
      </c>
      <c r="M19" s="7">
        <f t="shared" si="1"/>
        <v>3.4666666666666665E-2</v>
      </c>
      <c r="N19" s="5">
        <v>155</v>
      </c>
      <c r="O19" s="5">
        <v>695</v>
      </c>
      <c r="P19" s="5">
        <v>2</v>
      </c>
      <c r="Q19" s="5">
        <v>14</v>
      </c>
      <c r="R19" s="8">
        <v>2.99</v>
      </c>
      <c r="S19" s="9">
        <f t="shared" si="2"/>
        <v>1243.8400000000001</v>
      </c>
      <c r="T19" s="4" t="s">
        <v>104</v>
      </c>
      <c r="U19" s="10">
        <v>46249</v>
      </c>
      <c r="V19" s="10">
        <v>46263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474</v>
      </c>
      <c r="C20" s="11" t="s">
        <v>81</v>
      </c>
      <c r="D20" s="11" t="s">
        <v>107</v>
      </c>
      <c r="E20" s="11" t="s">
        <v>69</v>
      </c>
      <c r="F20" s="11" t="s">
        <v>475</v>
      </c>
      <c r="G20" s="12">
        <v>327</v>
      </c>
      <c r="H20" s="12">
        <v>10</v>
      </c>
      <c r="I20" s="13">
        <f t="shared" si="0"/>
        <v>317</v>
      </c>
      <c r="J20" s="12">
        <v>105</v>
      </c>
      <c r="K20" s="12">
        <v>30</v>
      </c>
      <c r="L20" s="12">
        <v>12000</v>
      </c>
      <c r="M20" s="14">
        <f t="shared" si="1"/>
        <v>2.725E-2</v>
      </c>
      <c r="N20" s="12">
        <v>185</v>
      </c>
      <c r="O20" s="12">
        <v>822</v>
      </c>
      <c r="P20" s="12">
        <v>2</v>
      </c>
      <c r="Q20" s="12">
        <v>14</v>
      </c>
      <c r="R20" s="15">
        <v>3.69</v>
      </c>
      <c r="S20" s="16">
        <f t="shared" si="2"/>
        <v>1206.6299999999999</v>
      </c>
      <c r="T20" s="11" t="s">
        <v>104</v>
      </c>
      <c r="U20" s="17">
        <v>46250</v>
      </c>
      <c r="V20" s="17">
        <v>46264</v>
      </c>
      <c r="W20" s="11">
        <v>8</v>
      </c>
      <c r="X20" s="11">
        <v>12</v>
      </c>
      <c r="Y20" s="13" t="str">
        <f t="shared" si="3"/>
        <v>Healthy</v>
      </c>
    </row>
    <row r="21" spans="1:25" x14ac:dyDescent="0.35">
      <c r="A21" s="4" t="s">
        <v>109</v>
      </c>
      <c r="B21" s="4" t="s">
        <v>476</v>
      </c>
      <c r="C21" s="4" t="s">
        <v>81</v>
      </c>
      <c r="D21" s="4" t="s">
        <v>111</v>
      </c>
      <c r="E21" s="4" t="s">
        <v>112</v>
      </c>
      <c r="F21" s="4" t="s">
        <v>477</v>
      </c>
      <c r="G21" s="5">
        <v>316</v>
      </c>
      <c r="H21" s="5">
        <v>65</v>
      </c>
      <c r="I21" s="6">
        <f t="shared" si="0"/>
        <v>251</v>
      </c>
      <c r="J21" s="5">
        <v>204</v>
      </c>
      <c r="K21" s="5">
        <v>143</v>
      </c>
      <c r="L21" s="5">
        <v>12000</v>
      </c>
      <c r="M21" s="7">
        <f t="shared" si="1"/>
        <v>2.6333333333333334E-2</v>
      </c>
      <c r="N21" s="5">
        <v>259</v>
      </c>
      <c r="O21" s="5">
        <v>1003</v>
      </c>
      <c r="P21" s="5">
        <v>3</v>
      </c>
      <c r="Q21" s="5">
        <v>18</v>
      </c>
      <c r="R21" s="8">
        <v>4.54</v>
      </c>
      <c r="S21" s="9">
        <f t="shared" si="2"/>
        <v>1434.64</v>
      </c>
      <c r="T21" s="4" t="s">
        <v>104</v>
      </c>
      <c r="U21" s="10">
        <v>46246</v>
      </c>
      <c r="V21" s="10">
        <v>46264</v>
      </c>
      <c r="W21" s="4">
        <v>7</v>
      </c>
      <c r="X21" s="4">
        <v>10</v>
      </c>
      <c r="Y21" s="6" t="str">
        <f t="shared" si="3"/>
        <v>Below Forecast</v>
      </c>
    </row>
    <row r="22" spans="1:25" x14ac:dyDescent="0.35">
      <c r="A22" s="11" t="s">
        <v>114</v>
      </c>
      <c r="B22" s="11" t="s">
        <v>478</v>
      </c>
      <c r="C22" s="11" t="s">
        <v>81</v>
      </c>
      <c r="D22" s="11" t="s">
        <v>116</v>
      </c>
      <c r="E22" s="11" t="s">
        <v>34</v>
      </c>
      <c r="F22" s="11" t="s">
        <v>479</v>
      </c>
      <c r="G22" s="12">
        <v>562</v>
      </c>
      <c r="H22" s="12">
        <v>16</v>
      </c>
      <c r="I22" s="13">
        <f t="shared" si="0"/>
        <v>546</v>
      </c>
      <c r="J22" s="12">
        <v>99</v>
      </c>
      <c r="K22" s="12">
        <v>72</v>
      </c>
      <c r="L22" s="12">
        <v>12000</v>
      </c>
      <c r="M22" s="14">
        <f t="shared" si="1"/>
        <v>4.6833333333333331E-2</v>
      </c>
      <c r="N22" s="12">
        <v>164</v>
      </c>
      <c r="O22" s="12">
        <v>632</v>
      </c>
      <c r="P22" s="12">
        <v>2</v>
      </c>
      <c r="Q22" s="12">
        <v>60</v>
      </c>
      <c r="R22" s="15">
        <v>2.21</v>
      </c>
      <c r="S22" s="16">
        <f t="shared" si="2"/>
        <v>1242.02</v>
      </c>
      <c r="T22" s="11" t="s">
        <v>89</v>
      </c>
      <c r="U22" s="17">
        <v>46246</v>
      </c>
      <c r="V22" s="17">
        <v>46306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480</v>
      </c>
      <c r="C23" s="4" t="s">
        <v>81</v>
      </c>
      <c r="D23" s="4" t="s">
        <v>120</v>
      </c>
      <c r="E23" s="4" t="s">
        <v>34</v>
      </c>
      <c r="F23" s="4" t="s">
        <v>481</v>
      </c>
      <c r="G23" s="5">
        <v>366</v>
      </c>
      <c r="H23" s="5">
        <v>11</v>
      </c>
      <c r="I23" s="6">
        <f t="shared" si="0"/>
        <v>355</v>
      </c>
      <c r="J23" s="5">
        <v>216</v>
      </c>
      <c r="K23" s="5">
        <v>201</v>
      </c>
      <c r="L23" s="5">
        <v>12000</v>
      </c>
      <c r="M23" s="7">
        <f t="shared" si="1"/>
        <v>3.0499999999999999E-2</v>
      </c>
      <c r="N23" s="5">
        <v>252</v>
      </c>
      <c r="O23" s="5">
        <v>977</v>
      </c>
      <c r="P23" s="5">
        <v>2</v>
      </c>
      <c r="Q23" s="5">
        <v>12</v>
      </c>
      <c r="R23" s="8">
        <v>3.21</v>
      </c>
      <c r="S23" s="9">
        <f t="shared" si="2"/>
        <v>1174.8599999999999</v>
      </c>
      <c r="T23" s="4" t="s">
        <v>84</v>
      </c>
      <c r="U23" s="10">
        <v>46247</v>
      </c>
      <c r="V23" s="10">
        <v>46259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482</v>
      </c>
      <c r="C24" s="11" t="s">
        <v>32</v>
      </c>
      <c r="D24" s="11" t="s">
        <v>124</v>
      </c>
      <c r="E24" s="11" t="s">
        <v>69</v>
      </c>
      <c r="F24" s="11" t="s">
        <v>483</v>
      </c>
      <c r="G24" s="12">
        <v>507</v>
      </c>
      <c r="H24" s="12">
        <v>80</v>
      </c>
      <c r="I24" s="13">
        <f t="shared" si="0"/>
        <v>427</v>
      </c>
      <c r="J24" s="12">
        <v>158</v>
      </c>
      <c r="K24" s="12">
        <v>54</v>
      </c>
      <c r="L24" s="12">
        <v>12000</v>
      </c>
      <c r="M24" s="14">
        <f t="shared" si="1"/>
        <v>4.2250000000000003E-2</v>
      </c>
      <c r="N24" s="12">
        <v>171</v>
      </c>
      <c r="O24" s="12">
        <v>792</v>
      </c>
      <c r="P24" s="12">
        <v>5</v>
      </c>
      <c r="Q24" s="12">
        <v>10</v>
      </c>
      <c r="R24" s="15">
        <v>2.82</v>
      </c>
      <c r="S24" s="16">
        <f t="shared" si="2"/>
        <v>1429.74</v>
      </c>
      <c r="T24" s="11" t="s">
        <v>41</v>
      </c>
      <c r="U24" s="17">
        <v>46247</v>
      </c>
      <c r="V24" s="17">
        <v>46257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484</v>
      </c>
      <c r="C25" s="4" t="s">
        <v>81</v>
      </c>
      <c r="D25" s="4" t="s">
        <v>128</v>
      </c>
      <c r="E25" s="4" t="s">
        <v>69</v>
      </c>
      <c r="F25" s="4" t="s">
        <v>485</v>
      </c>
      <c r="G25" s="5">
        <v>341</v>
      </c>
      <c r="H25" s="5">
        <v>37</v>
      </c>
      <c r="I25" s="6">
        <f t="shared" si="0"/>
        <v>304</v>
      </c>
      <c r="J25" s="5">
        <v>191</v>
      </c>
      <c r="K25" s="5">
        <v>142</v>
      </c>
      <c r="L25" s="5">
        <v>12000</v>
      </c>
      <c r="M25" s="7">
        <f t="shared" si="1"/>
        <v>2.8416666666666666E-2</v>
      </c>
      <c r="N25" s="5">
        <v>271</v>
      </c>
      <c r="O25" s="5">
        <v>1187</v>
      </c>
      <c r="P25" s="5">
        <v>2</v>
      </c>
      <c r="Q25" s="5">
        <v>12</v>
      </c>
      <c r="R25" s="8">
        <v>3.52</v>
      </c>
      <c r="S25" s="9">
        <f t="shared" si="2"/>
        <v>1200.32</v>
      </c>
      <c r="T25" s="4" t="s">
        <v>84</v>
      </c>
      <c r="U25" s="10">
        <v>46251</v>
      </c>
      <c r="V25" s="10">
        <v>46263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486</v>
      </c>
      <c r="C26" s="11" t="s">
        <v>81</v>
      </c>
      <c r="D26" s="11" t="s">
        <v>132</v>
      </c>
      <c r="E26" s="11" t="s">
        <v>34</v>
      </c>
      <c r="F26" s="11" t="s">
        <v>487</v>
      </c>
      <c r="G26" s="12">
        <v>432</v>
      </c>
      <c r="H26" s="12">
        <v>29</v>
      </c>
      <c r="I26" s="13">
        <f t="shared" si="0"/>
        <v>403</v>
      </c>
      <c r="J26" s="12">
        <v>164</v>
      </c>
      <c r="K26" s="12">
        <v>81</v>
      </c>
      <c r="L26" s="12">
        <v>12000</v>
      </c>
      <c r="M26" s="14">
        <f t="shared" si="1"/>
        <v>3.5999999999999997E-2</v>
      </c>
      <c r="N26" s="12">
        <v>177</v>
      </c>
      <c r="O26" s="12">
        <v>741</v>
      </c>
      <c r="P26" s="12">
        <v>3</v>
      </c>
      <c r="Q26" s="12">
        <v>40</v>
      </c>
      <c r="R26" s="15">
        <v>1.51</v>
      </c>
      <c r="S26" s="16">
        <f t="shared" si="2"/>
        <v>652.32000000000005</v>
      </c>
      <c r="T26" s="11" t="s">
        <v>89</v>
      </c>
      <c r="U26" s="17">
        <v>46248</v>
      </c>
      <c r="V26" s="17">
        <v>46288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488</v>
      </c>
      <c r="C27" s="4" t="s">
        <v>32</v>
      </c>
      <c r="D27" s="4" t="s">
        <v>136</v>
      </c>
      <c r="E27" s="4" t="s">
        <v>112</v>
      </c>
      <c r="F27" s="4" t="s">
        <v>489</v>
      </c>
      <c r="G27" s="5">
        <v>570</v>
      </c>
      <c r="H27" s="5">
        <v>26</v>
      </c>
      <c r="I27" s="6">
        <f t="shared" si="0"/>
        <v>544</v>
      </c>
      <c r="J27" s="5">
        <v>160</v>
      </c>
      <c r="K27" s="5">
        <v>142</v>
      </c>
      <c r="L27" s="5">
        <v>12000</v>
      </c>
      <c r="M27" s="7">
        <f t="shared" si="1"/>
        <v>4.7500000000000001E-2</v>
      </c>
      <c r="N27" s="5">
        <v>152</v>
      </c>
      <c r="O27" s="5">
        <v>686</v>
      </c>
      <c r="P27" s="5">
        <v>5</v>
      </c>
      <c r="Q27" s="5">
        <v>28</v>
      </c>
      <c r="R27" s="8">
        <v>1.71</v>
      </c>
      <c r="S27" s="9">
        <f t="shared" si="2"/>
        <v>974.69999999999993</v>
      </c>
      <c r="T27" s="4" t="s">
        <v>65</v>
      </c>
      <c r="U27" s="10">
        <v>46248</v>
      </c>
      <c r="V27" s="10">
        <v>46276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490</v>
      </c>
      <c r="C28" s="11" t="s">
        <v>32</v>
      </c>
      <c r="D28" s="11" t="s">
        <v>140</v>
      </c>
      <c r="E28" s="11" t="s">
        <v>54</v>
      </c>
      <c r="F28" s="11" t="s">
        <v>491</v>
      </c>
      <c r="G28" s="12">
        <v>235</v>
      </c>
      <c r="H28" s="12">
        <v>9</v>
      </c>
      <c r="I28" s="13">
        <f t="shared" si="0"/>
        <v>226</v>
      </c>
      <c r="J28" s="12">
        <v>91</v>
      </c>
      <c r="K28" s="12">
        <v>50</v>
      </c>
      <c r="L28" s="12">
        <v>12000</v>
      </c>
      <c r="M28" s="14">
        <f t="shared" si="1"/>
        <v>1.9583333333333335E-2</v>
      </c>
      <c r="N28" s="12">
        <v>104</v>
      </c>
      <c r="O28" s="12">
        <v>513</v>
      </c>
      <c r="P28" s="12">
        <v>1</v>
      </c>
      <c r="Q28" s="12">
        <v>6</v>
      </c>
      <c r="R28" s="15">
        <v>0.82</v>
      </c>
      <c r="S28" s="16">
        <f t="shared" si="2"/>
        <v>192.7</v>
      </c>
      <c r="T28" s="11" t="s">
        <v>56</v>
      </c>
      <c r="U28" s="17">
        <v>46250</v>
      </c>
      <c r="V28" s="17">
        <v>46256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8" priority="2">
      <formula>Y5="Critical"</formula>
    </cfRule>
    <cfRule type="expression" dxfId="7" priority="3">
      <formula>Y5="Reorder"</formula>
    </cfRule>
    <cfRule type="expression" dxfId="6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492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493</v>
      </c>
      <c r="D3" s="1" t="s">
        <v>4</v>
      </c>
      <c r="E3" s="2">
        <v>24</v>
      </c>
      <c r="G3" s="1" t="s">
        <v>5</v>
      </c>
      <c r="H3" s="2">
        <v>12000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494</v>
      </c>
      <c r="C5" s="4" t="s">
        <v>32</v>
      </c>
      <c r="D5" s="4" t="s">
        <v>33</v>
      </c>
      <c r="E5" s="4" t="s">
        <v>34</v>
      </c>
      <c r="F5" s="4" t="s">
        <v>495</v>
      </c>
      <c r="G5" s="5">
        <v>329</v>
      </c>
      <c r="H5" s="5">
        <v>58</v>
      </c>
      <c r="I5" s="6">
        <f t="shared" ref="I5:I28" si="0">G5-H5</f>
        <v>271</v>
      </c>
      <c r="J5" s="5">
        <v>184</v>
      </c>
      <c r="K5" s="5">
        <v>130</v>
      </c>
      <c r="L5" s="5">
        <v>12000</v>
      </c>
      <c r="M5" s="7">
        <f t="shared" ref="M5:M28" si="1">G5/L5</f>
        <v>2.7416666666666666E-2</v>
      </c>
      <c r="N5" s="5">
        <v>154</v>
      </c>
      <c r="O5" s="5">
        <v>721</v>
      </c>
      <c r="P5" s="5">
        <v>2</v>
      </c>
      <c r="Q5" s="5">
        <v>45</v>
      </c>
      <c r="R5" s="8">
        <v>1.71</v>
      </c>
      <c r="S5" s="9">
        <f t="shared" ref="S5:S28" si="2">G5*R5</f>
        <v>562.59</v>
      </c>
      <c r="T5" s="4" t="s">
        <v>36</v>
      </c>
      <c r="U5" s="10">
        <v>46246</v>
      </c>
      <c r="V5" s="10">
        <v>46291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496</v>
      </c>
      <c r="C6" s="11" t="s">
        <v>32</v>
      </c>
      <c r="D6" s="11" t="s">
        <v>39</v>
      </c>
      <c r="E6" s="11" t="s">
        <v>34</v>
      </c>
      <c r="F6" s="11" t="s">
        <v>497</v>
      </c>
      <c r="G6" s="12">
        <v>447</v>
      </c>
      <c r="H6" s="12">
        <v>79</v>
      </c>
      <c r="I6" s="13">
        <f t="shared" si="0"/>
        <v>368</v>
      </c>
      <c r="J6" s="12">
        <v>148</v>
      </c>
      <c r="K6" s="12">
        <v>93</v>
      </c>
      <c r="L6" s="12">
        <v>12000</v>
      </c>
      <c r="M6" s="14">
        <f t="shared" si="1"/>
        <v>3.7249999999999998E-2</v>
      </c>
      <c r="N6" s="12">
        <v>128</v>
      </c>
      <c r="O6" s="12">
        <v>538</v>
      </c>
      <c r="P6" s="12">
        <v>5</v>
      </c>
      <c r="Q6" s="12">
        <v>18</v>
      </c>
      <c r="R6" s="15">
        <v>1.02</v>
      </c>
      <c r="S6" s="16">
        <f t="shared" si="2"/>
        <v>455.94</v>
      </c>
      <c r="T6" s="11" t="s">
        <v>41</v>
      </c>
      <c r="U6" s="17">
        <v>46248</v>
      </c>
      <c r="V6" s="17">
        <v>46266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498</v>
      </c>
      <c r="C7" s="4" t="s">
        <v>32</v>
      </c>
      <c r="D7" s="4" t="s">
        <v>44</v>
      </c>
      <c r="E7" s="4" t="s">
        <v>34</v>
      </c>
      <c r="F7" s="4" t="s">
        <v>499</v>
      </c>
      <c r="G7" s="5">
        <v>197</v>
      </c>
      <c r="H7" s="5">
        <v>60</v>
      </c>
      <c r="I7" s="6">
        <f t="shared" si="0"/>
        <v>137</v>
      </c>
      <c r="J7" s="5">
        <v>114</v>
      </c>
      <c r="K7" s="5">
        <v>50</v>
      </c>
      <c r="L7" s="5">
        <v>12000</v>
      </c>
      <c r="M7" s="7">
        <f t="shared" si="1"/>
        <v>1.6416666666666666E-2</v>
      </c>
      <c r="N7" s="5">
        <v>173</v>
      </c>
      <c r="O7" s="5">
        <v>734</v>
      </c>
      <c r="P7" s="5">
        <v>3</v>
      </c>
      <c r="Q7" s="5">
        <v>38</v>
      </c>
      <c r="R7" s="8">
        <v>0.61</v>
      </c>
      <c r="S7" s="9">
        <f t="shared" si="2"/>
        <v>120.17</v>
      </c>
      <c r="T7" s="4" t="s">
        <v>46</v>
      </c>
      <c r="U7" s="10">
        <v>46246</v>
      </c>
      <c r="V7" s="10">
        <v>46284</v>
      </c>
      <c r="W7" s="4">
        <v>4</v>
      </c>
      <c r="X7" s="4">
        <v>8</v>
      </c>
      <c r="Y7" s="6" t="str">
        <f t="shared" si="3"/>
        <v>Below Forecast</v>
      </c>
    </row>
    <row r="8" spans="1:25" x14ac:dyDescent="0.35">
      <c r="A8" s="11" t="s">
        <v>47</v>
      </c>
      <c r="B8" s="11" t="s">
        <v>500</v>
      </c>
      <c r="C8" s="11" t="s">
        <v>32</v>
      </c>
      <c r="D8" s="11" t="s">
        <v>49</v>
      </c>
      <c r="E8" s="11" t="s">
        <v>34</v>
      </c>
      <c r="F8" s="11" t="s">
        <v>501</v>
      </c>
      <c r="G8" s="12">
        <v>211</v>
      </c>
      <c r="H8" s="12">
        <v>0</v>
      </c>
      <c r="I8" s="13">
        <f t="shared" si="0"/>
        <v>211</v>
      </c>
      <c r="J8" s="12">
        <v>117</v>
      </c>
      <c r="K8" s="12">
        <v>67</v>
      </c>
      <c r="L8" s="12">
        <v>12000</v>
      </c>
      <c r="M8" s="14">
        <f t="shared" si="1"/>
        <v>1.7583333333333333E-2</v>
      </c>
      <c r="N8" s="12">
        <v>77</v>
      </c>
      <c r="O8" s="12">
        <v>246</v>
      </c>
      <c r="P8" s="12">
        <v>3</v>
      </c>
      <c r="Q8" s="12">
        <v>35</v>
      </c>
      <c r="R8" s="15">
        <v>0.69</v>
      </c>
      <c r="S8" s="16">
        <f t="shared" si="2"/>
        <v>145.58999999999997</v>
      </c>
      <c r="T8" s="11" t="s">
        <v>36</v>
      </c>
      <c r="U8" s="17">
        <v>46245</v>
      </c>
      <c r="V8" s="17">
        <v>46280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502</v>
      </c>
      <c r="C9" s="4" t="s">
        <v>32</v>
      </c>
      <c r="D9" s="4" t="s">
        <v>53</v>
      </c>
      <c r="E9" s="4" t="s">
        <v>54</v>
      </c>
      <c r="F9" s="4" t="s">
        <v>503</v>
      </c>
      <c r="G9" s="5">
        <v>185</v>
      </c>
      <c r="H9" s="5">
        <v>41</v>
      </c>
      <c r="I9" s="6">
        <f t="shared" si="0"/>
        <v>144</v>
      </c>
      <c r="J9" s="5">
        <v>150</v>
      </c>
      <c r="K9" s="5">
        <v>97</v>
      </c>
      <c r="L9" s="5">
        <v>12000</v>
      </c>
      <c r="M9" s="7">
        <f t="shared" si="1"/>
        <v>1.5416666666666667E-2</v>
      </c>
      <c r="N9" s="5">
        <v>260</v>
      </c>
      <c r="O9" s="5">
        <v>1043</v>
      </c>
      <c r="P9" s="5">
        <v>1</v>
      </c>
      <c r="Q9" s="5">
        <v>7</v>
      </c>
      <c r="R9" s="8">
        <v>3.66</v>
      </c>
      <c r="S9" s="9">
        <f t="shared" si="2"/>
        <v>677.1</v>
      </c>
      <c r="T9" s="4" t="s">
        <v>56</v>
      </c>
      <c r="U9" s="10">
        <v>46249</v>
      </c>
      <c r="V9" s="10">
        <v>46256</v>
      </c>
      <c r="W9" s="4">
        <v>2</v>
      </c>
      <c r="X9" s="4">
        <v>5</v>
      </c>
      <c r="Y9" s="6" t="str">
        <f t="shared" si="3"/>
        <v>Reorder</v>
      </c>
    </row>
    <row r="10" spans="1:25" x14ac:dyDescent="0.35">
      <c r="A10" s="11" t="s">
        <v>57</v>
      </c>
      <c r="B10" s="11" t="s">
        <v>504</v>
      </c>
      <c r="C10" s="11" t="s">
        <v>32</v>
      </c>
      <c r="D10" s="11" t="s">
        <v>59</v>
      </c>
      <c r="E10" s="11" t="s">
        <v>54</v>
      </c>
      <c r="F10" s="11" t="s">
        <v>505</v>
      </c>
      <c r="G10" s="12">
        <v>168</v>
      </c>
      <c r="H10" s="12">
        <v>10</v>
      </c>
      <c r="I10" s="13">
        <f t="shared" si="0"/>
        <v>158</v>
      </c>
      <c r="J10" s="12">
        <v>184</v>
      </c>
      <c r="K10" s="12">
        <v>163</v>
      </c>
      <c r="L10" s="12">
        <v>12000</v>
      </c>
      <c r="M10" s="14">
        <f t="shared" si="1"/>
        <v>1.4E-2</v>
      </c>
      <c r="N10" s="12">
        <v>205</v>
      </c>
      <c r="O10" s="12">
        <v>900</v>
      </c>
      <c r="P10" s="12">
        <v>2</v>
      </c>
      <c r="Q10" s="12">
        <v>14</v>
      </c>
      <c r="R10" s="15">
        <v>2.58</v>
      </c>
      <c r="S10" s="16">
        <f t="shared" si="2"/>
        <v>433.44</v>
      </c>
      <c r="T10" s="11" t="s">
        <v>56</v>
      </c>
      <c r="U10" s="17">
        <v>46249</v>
      </c>
      <c r="V10" s="17">
        <v>46263</v>
      </c>
      <c r="W10" s="11">
        <v>2</v>
      </c>
      <c r="X10" s="11">
        <v>6</v>
      </c>
      <c r="Y10" s="13" t="str">
        <f t="shared" si="3"/>
        <v>Critical</v>
      </c>
    </row>
    <row r="11" spans="1:25" x14ac:dyDescent="0.35">
      <c r="A11" s="4" t="s">
        <v>61</v>
      </c>
      <c r="B11" s="4" t="s">
        <v>506</v>
      </c>
      <c r="C11" s="4" t="s">
        <v>32</v>
      </c>
      <c r="D11" s="4" t="s">
        <v>63</v>
      </c>
      <c r="E11" s="4" t="s">
        <v>54</v>
      </c>
      <c r="F11" s="4" t="s">
        <v>507</v>
      </c>
      <c r="G11" s="5">
        <v>92</v>
      </c>
      <c r="H11" s="5">
        <v>26</v>
      </c>
      <c r="I11" s="6">
        <f t="shared" si="0"/>
        <v>66</v>
      </c>
      <c r="J11" s="5">
        <v>118</v>
      </c>
      <c r="K11" s="5">
        <v>101</v>
      </c>
      <c r="L11" s="5">
        <v>12000</v>
      </c>
      <c r="M11" s="7">
        <f t="shared" si="1"/>
        <v>7.6666666666666662E-3</v>
      </c>
      <c r="N11" s="5">
        <v>122</v>
      </c>
      <c r="O11" s="5">
        <v>473</v>
      </c>
      <c r="P11" s="5">
        <v>3</v>
      </c>
      <c r="Q11" s="5">
        <v>21</v>
      </c>
      <c r="R11" s="8">
        <v>1.76</v>
      </c>
      <c r="S11" s="9">
        <f t="shared" si="2"/>
        <v>161.91999999999999</v>
      </c>
      <c r="T11" s="4" t="s">
        <v>65</v>
      </c>
      <c r="U11" s="10">
        <v>46244</v>
      </c>
      <c r="V11" s="10">
        <v>46265</v>
      </c>
      <c r="W11" s="4">
        <v>2</v>
      </c>
      <c r="X11" s="4">
        <v>7</v>
      </c>
      <c r="Y11" s="6" t="str">
        <f t="shared" si="3"/>
        <v>Critical</v>
      </c>
    </row>
    <row r="12" spans="1:25" x14ac:dyDescent="0.35">
      <c r="A12" s="11" t="s">
        <v>66</v>
      </c>
      <c r="B12" s="11" t="s">
        <v>508</v>
      </c>
      <c r="C12" s="11" t="s">
        <v>32</v>
      </c>
      <c r="D12" s="11" t="s">
        <v>68</v>
      </c>
      <c r="E12" s="11" t="s">
        <v>69</v>
      </c>
      <c r="F12" s="11" t="s">
        <v>509</v>
      </c>
      <c r="G12" s="12">
        <v>423</v>
      </c>
      <c r="H12" s="12">
        <v>58</v>
      </c>
      <c r="I12" s="13">
        <f t="shared" si="0"/>
        <v>365</v>
      </c>
      <c r="J12" s="12">
        <v>169</v>
      </c>
      <c r="K12" s="12">
        <v>45</v>
      </c>
      <c r="L12" s="12">
        <v>12000</v>
      </c>
      <c r="M12" s="14">
        <f t="shared" si="1"/>
        <v>3.5249999999999997E-2</v>
      </c>
      <c r="N12" s="12">
        <v>236</v>
      </c>
      <c r="O12" s="12">
        <v>1062</v>
      </c>
      <c r="P12" s="12">
        <v>5</v>
      </c>
      <c r="Q12" s="12">
        <v>14</v>
      </c>
      <c r="R12" s="15">
        <v>2.67</v>
      </c>
      <c r="S12" s="16">
        <f t="shared" si="2"/>
        <v>1129.4100000000001</v>
      </c>
      <c r="T12" s="11" t="s">
        <v>41</v>
      </c>
      <c r="U12" s="17">
        <v>46251</v>
      </c>
      <c r="V12" s="17">
        <v>46265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510</v>
      </c>
      <c r="C13" s="4" t="s">
        <v>32</v>
      </c>
      <c r="D13" s="4" t="s">
        <v>73</v>
      </c>
      <c r="E13" s="4" t="s">
        <v>69</v>
      </c>
      <c r="F13" s="4" t="s">
        <v>511</v>
      </c>
      <c r="G13" s="5">
        <v>620</v>
      </c>
      <c r="H13" s="5">
        <v>42</v>
      </c>
      <c r="I13" s="6">
        <f t="shared" si="0"/>
        <v>578</v>
      </c>
      <c r="J13" s="5">
        <v>121</v>
      </c>
      <c r="K13" s="5">
        <v>35</v>
      </c>
      <c r="L13" s="5">
        <v>12000</v>
      </c>
      <c r="M13" s="7">
        <f t="shared" si="1"/>
        <v>5.1666666666666666E-2</v>
      </c>
      <c r="N13" s="5">
        <v>84</v>
      </c>
      <c r="O13" s="5">
        <v>404</v>
      </c>
      <c r="P13" s="5">
        <v>6</v>
      </c>
      <c r="Q13" s="5">
        <v>18</v>
      </c>
      <c r="R13" s="8">
        <v>1.1200000000000001</v>
      </c>
      <c r="S13" s="9">
        <f t="shared" si="2"/>
        <v>694.40000000000009</v>
      </c>
      <c r="T13" s="4" t="s">
        <v>41</v>
      </c>
      <c r="U13" s="10">
        <v>46249</v>
      </c>
      <c r="V13" s="10">
        <v>46267</v>
      </c>
      <c r="W13" s="4">
        <v>8</v>
      </c>
      <c r="X13" s="4">
        <v>13</v>
      </c>
      <c r="Y13" s="6" t="str">
        <f t="shared" si="3"/>
        <v>Healthy</v>
      </c>
    </row>
    <row r="14" spans="1:25" x14ac:dyDescent="0.35">
      <c r="A14" s="11" t="s">
        <v>75</v>
      </c>
      <c r="B14" s="11" t="s">
        <v>512</v>
      </c>
      <c r="C14" s="11" t="s">
        <v>32</v>
      </c>
      <c r="D14" s="11" t="s">
        <v>77</v>
      </c>
      <c r="E14" s="11" t="s">
        <v>34</v>
      </c>
      <c r="F14" s="11" t="s">
        <v>513</v>
      </c>
      <c r="G14" s="12">
        <v>392</v>
      </c>
      <c r="H14" s="12">
        <v>34</v>
      </c>
      <c r="I14" s="13">
        <f t="shared" si="0"/>
        <v>358</v>
      </c>
      <c r="J14" s="12">
        <v>167</v>
      </c>
      <c r="K14" s="12">
        <v>55</v>
      </c>
      <c r="L14" s="12">
        <v>12000</v>
      </c>
      <c r="M14" s="14">
        <f t="shared" si="1"/>
        <v>3.2666666666666663E-2</v>
      </c>
      <c r="N14" s="12">
        <v>156</v>
      </c>
      <c r="O14" s="12">
        <v>642</v>
      </c>
      <c r="P14" s="12">
        <v>3</v>
      </c>
      <c r="Q14" s="12">
        <v>42</v>
      </c>
      <c r="R14" s="15">
        <v>1.4</v>
      </c>
      <c r="S14" s="16">
        <f t="shared" si="2"/>
        <v>548.79999999999995</v>
      </c>
      <c r="T14" s="11" t="s">
        <v>46</v>
      </c>
      <c r="U14" s="17">
        <v>46246</v>
      </c>
      <c r="V14" s="17">
        <v>46288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514</v>
      </c>
      <c r="C15" s="4" t="s">
        <v>81</v>
      </c>
      <c r="D15" s="4" t="s">
        <v>82</v>
      </c>
      <c r="E15" s="4" t="s">
        <v>34</v>
      </c>
      <c r="F15" s="4" t="s">
        <v>515</v>
      </c>
      <c r="G15" s="5">
        <v>478</v>
      </c>
      <c r="H15" s="5">
        <v>20</v>
      </c>
      <c r="I15" s="6">
        <f t="shared" si="0"/>
        <v>458</v>
      </c>
      <c r="J15" s="5">
        <v>147</v>
      </c>
      <c r="K15" s="5">
        <v>121</v>
      </c>
      <c r="L15" s="5">
        <v>12000</v>
      </c>
      <c r="M15" s="7">
        <f t="shared" si="1"/>
        <v>3.9833333333333332E-2</v>
      </c>
      <c r="N15" s="5">
        <v>141</v>
      </c>
      <c r="O15" s="5">
        <v>682</v>
      </c>
      <c r="P15" s="5">
        <v>2</v>
      </c>
      <c r="Q15" s="5">
        <v>75</v>
      </c>
      <c r="R15" s="8">
        <v>3.38</v>
      </c>
      <c r="S15" s="9">
        <f t="shared" si="2"/>
        <v>1615.6399999999999</v>
      </c>
      <c r="T15" s="4" t="s">
        <v>84</v>
      </c>
      <c r="U15" s="10">
        <v>46248</v>
      </c>
      <c r="V15" s="10">
        <v>46323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516</v>
      </c>
      <c r="C16" s="11" t="s">
        <v>81</v>
      </c>
      <c r="D16" s="11" t="s">
        <v>87</v>
      </c>
      <c r="E16" s="11" t="s">
        <v>34</v>
      </c>
      <c r="F16" s="11" t="s">
        <v>517</v>
      </c>
      <c r="G16" s="12">
        <v>580</v>
      </c>
      <c r="H16" s="12">
        <v>3</v>
      </c>
      <c r="I16" s="13">
        <f t="shared" si="0"/>
        <v>577</v>
      </c>
      <c r="J16" s="12">
        <v>215</v>
      </c>
      <c r="K16" s="12">
        <v>61</v>
      </c>
      <c r="L16" s="12">
        <v>12000</v>
      </c>
      <c r="M16" s="14">
        <f t="shared" si="1"/>
        <v>4.8333333333333332E-2</v>
      </c>
      <c r="N16" s="12">
        <v>77</v>
      </c>
      <c r="O16" s="12">
        <v>408</v>
      </c>
      <c r="P16" s="12">
        <v>2</v>
      </c>
      <c r="Q16" s="12">
        <v>35</v>
      </c>
      <c r="R16" s="15">
        <v>2.52</v>
      </c>
      <c r="S16" s="16">
        <f t="shared" si="2"/>
        <v>1461.6</v>
      </c>
      <c r="T16" s="11" t="s">
        <v>89</v>
      </c>
      <c r="U16" s="17">
        <v>46245</v>
      </c>
      <c r="V16" s="17">
        <v>46280</v>
      </c>
      <c r="W16" s="11">
        <v>2</v>
      </c>
      <c r="X16" s="11">
        <v>6</v>
      </c>
      <c r="Y16" s="13" t="str">
        <f t="shared" si="3"/>
        <v>Healthy</v>
      </c>
    </row>
    <row r="17" spans="1:25" x14ac:dyDescent="0.35">
      <c r="A17" s="4" t="s">
        <v>90</v>
      </c>
      <c r="B17" s="4" t="s">
        <v>518</v>
      </c>
      <c r="C17" s="4" t="s">
        <v>81</v>
      </c>
      <c r="D17" s="4" t="s">
        <v>92</v>
      </c>
      <c r="E17" s="4" t="s">
        <v>69</v>
      </c>
      <c r="F17" s="4" t="s">
        <v>519</v>
      </c>
      <c r="G17" s="5">
        <v>450</v>
      </c>
      <c r="H17" s="5">
        <v>23</v>
      </c>
      <c r="I17" s="6">
        <f t="shared" si="0"/>
        <v>427</v>
      </c>
      <c r="J17" s="5">
        <v>142</v>
      </c>
      <c r="K17" s="5">
        <v>40</v>
      </c>
      <c r="L17" s="5">
        <v>12000</v>
      </c>
      <c r="M17" s="7">
        <f t="shared" si="1"/>
        <v>3.7499999999999999E-2</v>
      </c>
      <c r="N17" s="5">
        <v>289</v>
      </c>
      <c r="O17" s="5">
        <v>1129</v>
      </c>
      <c r="P17" s="5">
        <v>2</v>
      </c>
      <c r="Q17" s="5">
        <v>12</v>
      </c>
      <c r="R17" s="8">
        <v>2.77</v>
      </c>
      <c r="S17" s="9">
        <f t="shared" si="2"/>
        <v>1246.5</v>
      </c>
      <c r="T17" s="4" t="s">
        <v>84</v>
      </c>
      <c r="U17" s="10">
        <v>46250</v>
      </c>
      <c r="V17" s="10">
        <v>46262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520</v>
      </c>
      <c r="C18" s="11" t="s">
        <v>81</v>
      </c>
      <c r="D18" s="11" t="s">
        <v>96</v>
      </c>
      <c r="E18" s="11" t="s">
        <v>97</v>
      </c>
      <c r="F18" s="11" t="s">
        <v>521</v>
      </c>
      <c r="G18" s="12">
        <v>352</v>
      </c>
      <c r="H18" s="12">
        <v>77</v>
      </c>
      <c r="I18" s="13">
        <f t="shared" si="0"/>
        <v>275</v>
      </c>
      <c r="J18" s="12">
        <v>128</v>
      </c>
      <c r="K18" s="12">
        <v>90</v>
      </c>
      <c r="L18" s="12">
        <v>12000</v>
      </c>
      <c r="M18" s="14">
        <f t="shared" si="1"/>
        <v>2.9333333333333333E-2</v>
      </c>
      <c r="N18" s="12">
        <v>187</v>
      </c>
      <c r="O18" s="12">
        <v>810</v>
      </c>
      <c r="P18" s="12">
        <v>1</v>
      </c>
      <c r="Q18" s="12">
        <v>7</v>
      </c>
      <c r="R18" s="15">
        <v>2.71</v>
      </c>
      <c r="S18" s="16">
        <f t="shared" si="2"/>
        <v>953.92</v>
      </c>
      <c r="T18" s="11" t="s">
        <v>99</v>
      </c>
      <c r="U18" s="17">
        <v>46250</v>
      </c>
      <c r="V18" s="17">
        <v>46257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522</v>
      </c>
      <c r="C19" s="4" t="s">
        <v>81</v>
      </c>
      <c r="D19" s="4" t="s">
        <v>102</v>
      </c>
      <c r="E19" s="4" t="s">
        <v>34</v>
      </c>
      <c r="F19" s="4" t="s">
        <v>523</v>
      </c>
      <c r="G19" s="5">
        <v>499</v>
      </c>
      <c r="H19" s="5">
        <v>36</v>
      </c>
      <c r="I19" s="6">
        <f t="shared" si="0"/>
        <v>463</v>
      </c>
      <c r="J19" s="5">
        <v>194</v>
      </c>
      <c r="K19" s="5">
        <v>107</v>
      </c>
      <c r="L19" s="5">
        <v>12000</v>
      </c>
      <c r="M19" s="7">
        <f t="shared" si="1"/>
        <v>4.1583333333333333E-2</v>
      </c>
      <c r="N19" s="5">
        <v>206</v>
      </c>
      <c r="O19" s="5">
        <v>905</v>
      </c>
      <c r="P19" s="5">
        <v>2</v>
      </c>
      <c r="Q19" s="5">
        <v>14</v>
      </c>
      <c r="R19" s="8">
        <v>3.43</v>
      </c>
      <c r="S19" s="9">
        <f t="shared" si="2"/>
        <v>1711.5700000000002</v>
      </c>
      <c r="T19" s="4" t="s">
        <v>104</v>
      </c>
      <c r="U19" s="10">
        <v>46244</v>
      </c>
      <c r="V19" s="10">
        <v>46258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524</v>
      </c>
      <c r="C20" s="11" t="s">
        <v>81</v>
      </c>
      <c r="D20" s="11" t="s">
        <v>107</v>
      </c>
      <c r="E20" s="11" t="s">
        <v>69</v>
      </c>
      <c r="F20" s="11" t="s">
        <v>525</v>
      </c>
      <c r="G20" s="12">
        <v>542</v>
      </c>
      <c r="H20" s="12">
        <v>10</v>
      </c>
      <c r="I20" s="13">
        <f t="shared" si="0"/>
        <v>532</v>
      </c>
      <c r="J20" s="12">
        <v>89</v>
      </c>
      <c r="K20" s="12">
        <v>41</v>
      </c>
      <c r="L20" s="12">
        <v>12000</v>
      </c>
      <c r="M20" s="14">
        <f t="shared" si="1"/>
        <v>4.5166666666666667E-2</v>
      </c>
      <c r="N20" s="12">
        <v>278</v>
      </c>
      <c r="O20" s="12">
        <v>1087</v>
      </c>
      <c r="P20" s="12">
        <v>2</v>
      </c>
      <c r="Q20" s="12">
        <v>14</v>
      </c>
      <c r="R20" s="15">
        <v>3.49</v>
      </c>
      <c r="S20" s="16">
        <f t="shared" si="2"/>
        <v>1891.5800000000002</v>
      </c>
      <c r="T20" s="11" t="s">
        <v>104</v>
      </c>
      <c r="U20" s="17">
        <v>46245</v>
      </c>
      <c r="V20" s="17">
        <v>46259</v>
      </c>
      <c r="W20" s="11">
        <v>8</v>
      </c>
      <c r="X20" s="11">
        <v>12</v>
      </c>
      <c r="Y20" s="13" t="str">
        <f t="shared" si="3"/>
        <v>Healthy</v>
      </c>
    </row>
    <row r="21" spans="1:25" x14ac:dyDescent="0.35">
      <c r="A21" s="4" t="s">
        <v>109</v>
      </c>
      <c r="B21" s="4" t="s">
        <v>526</v>
      </c>
      <c r="C21" s="4" t="s">
        <v>81</v>
      </c>
      <c r="D21" s="4" t="s">
        <v>111</v>
      </c>
      <c r="E21" s="4" t="s">
        <v>112</v>
      </c>
      <c r="F21" s="4" t="s">
        <v>527</v>
      </c>
      <c r="G21" s="5">
        <v>406</v>
      </c>
      <c r="H21" s="5">
        <v>3</v>
      </c>
      <c r="I21" s="6">
        <f t="shared" si="0"/>
        <v>403</v>
      </c>
      <c r="J21" s="5">
        <v>219</v>
      </c>
      <c r="K21" s="5">
        <v>144</v>
      </c>
      <c r="L21" s="5">
        <v>12000</v>
      </c>
      <c r="M21" s="7">
        <f t="shared" si="1"/>
        <v>3.3833333333333333E-2</v>
      </c>
      <c r="N21" s="5">
        <v>150</v>
      </c>
      <c r="O21" s="5">
        <v>708</v>
      </c>
      <c r="P21" s="5">
        <v>3</v>
      </c>
      <c r="Q21" s="5">
        <v>18</v>
      </c>
      <c r="R21" s="8">
        <v>3.73</v>
      </c>
      <c r="S21" s="9">
        <f t="shared" si="2"/>
        <v>1514.3799999999999</v>
      </c>
      <c r="T21" s="4" t="s">
        <v>104</v>
      </c>
      <c r="U21" s="10">
        <v>46246</v>
      </c>
      <c r="V21" s="10">
        <v>46264</v>
      </c>
      <c r="W21" s="4">
        <v>7</v>
      </c>
      <c r="X21" s="4">
        <v>10</v>
      </c>
      <c r="Y21" s="6" t="str">
        <f t="shared" si="3"/>
        <v>Healthy</v>
      </c>
    </row>
    <row r="22" spans="1:25" x14ac:dyDescent="0.35">
      <c r="A22" s="11" t="s">
        <v>114</v>
      </c>
      <c r="B22" s="11" t="s">
        <v>528</v>
      </c>
      <c r="C22" s="11" t="s">
        <v>81</v>
      </c>
      <c r="D22" s="11" t="s">
        <v>116</v>
      </c>
      <c r="E22" s="11" t="s">
        <v>34</v>
      </c>
      <c r="F22" s="11" t="s">
        <v>529</v>
      </c>
      <c r="G22" s="12">
        <v>405</v>
      </c>
      <c r="H22" s="12">
        <v>64</v>
      </c>
      <c r="I22" s="13">
        <f t="shared" si="0"/>
        <v>341</v>
      </c>
      <c r="J22" s="12">
        <v>200</v>
      </c>
      <c r="K22" s="12">
        <v>174</v>
      </c>
      <c r="L22" s="12">
        <v>12000</v>
      </c>
      <c r="M22" s="14">
        <f t="shared" si="1"/>
        <v>3.3750000000000002E-2</v>
      </c>
      <c r="N22" s="12">
        <v>227</v>
      </c>
      <c r="O22" s="12">
        <v>910</v>
      </c>
      <c r="P22" s="12">
        <v>2</v>
      </c>
      <c r="Q22" s="12">
        <v>60</v>
      </c>
      <c r="R22" s="15">
        <v>4.1100000000000003</v>
      </c>
      <c r="S22" s="16">
        <f t="shared" si="2"/>
        <v>1664.5500000000002</v>
      </c>
      <c r="T22" s="11" t="s">
        <v>89</v>
      </c>
      <c r="U22" s="17">
        <v>46248</v>
      </c>
      <c r="V22" s="17">
        <v>46308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530</v>
      </c>
      <c r="C23" s="4" t="s">
        <v>81</v>
      </c>
      <c r="D23" s="4" t="s">
        <v>120</v>
      </c>
      <c r="E23" s="4" t="s">
        <v>34</v>
      </c>
      <c r="F23" s="4" t="s">
        <v>531</v>
      </c>
      <c r="G23" s="5">
        <v>601</v>
      </c>
      <c r="H23" s="5">
        <v>42</v>
      </c>
      <c r="I23" s="6">
        <f t="shared" si="0"/>
        <v>559</v>
      </c>
      <c r="J23" s="5">
        <v>195</v>
      </c>
      <c r="K23" s="5">
        <v>165</v>
      </c>
      <c r="L23" s="5">
        <v>12000</v>
      </c>
      <c r="M23" s="7">
        <f t="shared" si="1"/>
        <v>5.0083333333333334E-2</v>
      </c>
      <c r="N23" s="5">
        <v>97</v>
      </c>
      <c r="O23" s="5">
        <v>382</v>
      </c>
      <c r="P23" s="5">
        <v>2</v>
      </c>
      <c r="Q23" s="5">
        <v>12</v>
      </c>
      <c r="R23" s="8">
        <v>2.11</v>
      </c>
      <c r="S23" s="9">
        <f t="shared" si="2"/>
        <v>1268.1099999999999</v>
      </c>
      <c r="T23" s="4" t="s">
        <v>84</v>
      </c>
      <c r="U23" s="10">
        <v>46250</v>
      </c>
      <c r="V23" s="10">
        <v>46262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532</v>
      </c>
      <c r="C24" s="11" t="s">
        <v>32</v>
      </c>
      <c r="D24" s="11" t="s">
        <v>124</v>
      </c>
      <c r="E24" s="11" t="s">
        <v>69</v>
      </c>
      <c r="F24" s="11" t="s">
        <v>533</v>
      </c>
      <c r="G24" s="12">
        <v>439</v>
      </c>
      <c r="H24" s="12">
        <v>17</v>
      </c>
      <c r="I24" s="13">
        <f t="shared" si="0"/>
        <v>422</v>
      </c>
      <c r="J24" s="12">
        <v>186</v>
      </c>
      <c r="K24" s="12">
        <v>148</v>
      </c>
      <c r="L24" s="12">
        <v>12000</v>
      </c>
      <c r="M24" s="14">
        <f t="shared" si="1"/>
        <v>3.6583333333333336E-2</v>
      </c>
      <c r="N24" s="12">
        <v>259</v>
      </c>
      <c r="O24" s="12">
        <v>1038</v>
      </c>
      <c r="P24" s="12">
        <v>5</v>
      </c>
      <c r="Q24" s="12">
        <v>10</v>
      </c>
      <c r="R24" s="15">
        <v>2.8</v>
      </c>
      <c r="S24" s="16">
        <f t="shared" si="2"/>
        <v>1229.1999999999998</v>
      </c>
      <c r="T24" s="11" t="s">
        <v>41</v>
      </c>
      <c r="U24" s="17">
        <v>46251</v>
      </c>
      <c r="V24" s="17">
        <v>46261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534</v>
      </c>
      <c r="C25" s="4" t="s">
        <v>81</v>
      </c>
      <c r="D25" s="4" t="s">
        <v>128</v>
      </c>
      <c r="E25" s="4" t="s">
        <v>69</v>
      </c>
      <c r="F25" s="4" t="s">
        <v>535</v>
      </c>
      <c r="G25" s="5">
        <v>416</v>
      </c>
      <c r="H25" s="5">
        <v>45</v>
      </c>
      <c r="I25" s="6">
        <f t="shared" si="0"/>
        <v>371</v>
      </c>
      <c r="J25" s="5">
        <v>174</v>
      </c>
      <c r="K25" s="5">
        <v>69</v>
      </c>
      <c r="L25" s="5">
        <v>12000</v>
      </c>
      <c r="M25" s="7">
        <f t="shared" si="1"/>
        <v>3.4666666666666665E-2</v>
      </c>
      <c r="N25" s="5">
        <v>241</v>
      </c>
      <c r="O25" s="5">
        <v>1001</v>
      </c>
      <c r="P25" s="5">
        <v>2</v>
      </c>
      <c r="Q25" s="5">
        <v>12</v>
      </c>
      <c r="R25" s="8">
        <v>2.06</v>
      </c>
      <c r="S25" s="9">
        <f t="shared" si="2"/>
        <v>856.96</v>
      </c>
      <c r="T25" s="4" t="s">
        <v>84</v>
      </c>
      <c r="U25" s="10">
        <v>46249</v>
      </c>
      <c r="V25" s="10">
        <v>46261</v>
      </c>
      <c r="W25" s="4">
        <v>1</v>
      </c>
      <c r="X25" s="4">
        <v>5</v>
      </c>
      <c r="Y25" s="6" t="str">
        <f t="shared" si="3"/>
        <v>Healthy</v>
      </c>
    </row>
    <row r="26" spans="1:25" x14ac:dyDescent="0.35">
      <c r="A26" s="11" t="s">
        <v>130</v>
      </c>
      <c r="B26" s="11" t="s">
        <v>536</v>
      </c>
      <c r="C26" s="11" t="s">
        <v>81</v>
      </c>
      <c r="D26" s="11" t="s">
        <v>132</v>
      </c>
      <c r="E26" s="11" t="s">
        <v>34</v>
      </c>
      <c r="F26" s="11" t="s">
        <v>537</v>
      </c>
      <c r="G26" s="12">
        <v>376</v>
      </c>
      <c r="H26" s="12">
        <v>46</v>
      </c>
      <c r="I26" s="13">
        <f t="shared" si="0"/>
        <v>330</v>
      </c>
      <c r="J26" s="12">
        <v>85</v>
      </c>
      <c r="K26" s="12">
        <v>37</v>
      </c>
      <c r="L26" s="12">
        <v>12000</v>
      </c>
      <c r="M26" s="14">
        <f t="shared" si="1"/>
        <v>3.1333333333333331E-2</v>
      </c>
      <c r="N26" s="12">
        <v>71</v>
      </c>
      <c r="O26" s="12">
        <v>366</v>
      </c>
      <c r="P26" s="12">
        <v>3</v>
      </c>
      <c r="Q26" s="12">
        <v>40</v>
      </c>
      <c r="R26" s="15">
        <v>4.24</v>
      </c>
      <c r="S26" s="16">
        <f t="shared" si="2"/>
        <v>1594.24</v>
      </c>
      <c r="T26" s="11" t="s">
        <v>89</v>
      </c>
      <c r="U26" s="17">
        <v>46244</v>
      </c>
      <c r="V26" s="17">
        <v>46284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538</v>
      </c>
      <c r="C27" s="4" t="s">
        <v>32</v>
      </c>
      <c r="D27" s="4" t="s">
        <v>136</v>
      </c>
      <c r="E27" s="4" t="s">
        <v>112</v>
      </c>
      <c r="F27" s="4" t="s">
        <v>539</v>
      </c>
      <c r="G27" s="5">
        <v>467</v>
      </c>
      <c r="H27" s="5">
        <v>56</v>
      </c>
      <c r="I27" s="6">
        <f t="shared" si="0"/>
        <v>411</v>
      </c>
      <c r="J27" s="5">
        <v>94</v>
      </c>
      <c r="K27" s="5">
        <v>45</v>
      </c>
      <c r="L27" s="5">
        <v>12000</v>
      </c>
      <c r="M27" s="7">
        <f t="shared" si="1"/>
        <v>3.8916666666666669E-2</v>
      </c>
      <c r="N27" s="5">
        <v>105</v>
      </c>
      <c r="O27" s="5">
        <v>392</v>
      </c>
      <c r="P27" s="5">
        <v>5</v>
      </c>
      <c r="Q27" s="5">
        <v>28</v>
      </c>
      <c r="R27" s="8">
        <v>3.01</v>
      </c>
      <c r="S27" s="9">
        <f t="shared" si="2"/>
        <v>1405.6699999999998</v>
      </c>
      <c r="T27" s="4" t="s">
        <v>65</v>
      </c>
      <c r="U27" s="10">
        <v>46244</v>
      </c>
      <c r="V27" s="10">
        <v>46272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540</v>
      </c>
      <c r="C28" s="11" t="s">
        <v>32</v>
      </c>
      <c r="D28" s="11" t="s">
        <v>140</v>
      </c>
      <c r="E28" s="11" t="s">
        <v>54</v>
      </c>
      <c r="F28" s="11" t="s">
        <v>541</v>
      </c>
      <c r="G28" s="12">
        <v>306</v>
      </c>
      <c r="H28" s="12">
        <v>14</v>
      </c>
      <c r="I28" s="13">
        <f t="shared" si="0"/>
        <v>292</v>
      </c>
      <c r="J28" s="12">
        <v>217</v>
      </c>
      <c r="K28" s="12">
        <v>168</v>
      </c>
      <c r="L28" s="12">
        <v>12000</v>
      </c>
      <c r="M28" s="14">
        <f t="shared" si="1"/>
        <v>2.5499999999999998E-2</v>
      </c>
      <c r="N28" s="12">
        <v>90</v>
      </c>
      <c r="O28" s="12">
        <v>348</v>
      </c>
      <c r="P28" s="12">
        <v>1</v>
      </c>
      <c r="Q28" s="12">
        <v>6</v>
      </c>
      <c r="R28" s="15">
        <v>2.5499999999999998</v>
      </c>
      <c r="S28" s="16">
        <f t="shared" si="2"/>
        <v>780.3</v>
      </c>
      <c r="T28" s="11" t="s">
        <v>56</v>
      </c>
      <c r="U28" s="17">
        <v>46251</v>
      </c>
      <c r="V28" s="17">
        <v>46257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5" priority="2">
      <formula>Y5="Critical"</formula>
    </cfRule>
    <cfRule type="expression" dxfId="4" priority="3">
      <formula>Y5="Reorder"</formula>
    </cfRule>
    <cfRule type="expression" dxfId="3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A6A6"/>
    <pageSetUpPr fitToPage="1"/>
  </sheetPr>
  <dimension ref="A1:Y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18" customWidth="1"/>
    <col min="3" max="3" width="12" customWidth="1"/>
    <col min="4" max="4" width="22" customWidth="1"/>
    <col min="5" max="5" width="16" customWidth="1"/>
    <col min="6" max="6" width="20" customWidth="1"/>
    <col min="7" max="10" width="14" customWidth="1"/>
    <col min="11" max="11" width="12" customWidth="1"/>
    <col min="12" max="14" width="14" customWidth="1"/>
    <col min="15" max="15" width="16" customWidth="1"/>
    <col min="16" max="17" width="15" customWidth="1"/>
    <col min="18" max="18" width="13" customWidth="1"/>
    <col min="19" max="19" width="16" customWidth="1"/>
    <col min="20" max="20" width="22" customWidth="1"/>
    <col min="21" max="21" width="17" customWidth="1"/>
    <col min="22" max="22" width="15" customWidth="1"/>
    <col min="23" max="24" width="20" customWidth="1"/>
    <col min="25" max="25" width="18" customWidth="1"/>
  </cols>
  <sheetData>
    <row r="1" spans="1:25" ht="27.75" customHeight="1" x14ac:dyDescent="0.35">
      <c r="A1" s="18" t="s">
        <v>542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5">
      <c r="A3" s="1" t="s">
        <v>2</v>
      </c>
      <c r="B3" s="2" t="s">
        <v>543</v>
      </c>
      <c r="D3" s="1" t="s">
        <v>4</v>
      </c>
      <c r="E3" s="2">
        <v>24</v>
      </c>
      <c r="G3" s="1" t="s">
        <v>5</v>
      </c>
      <c r="H3" s="2">
        <v>12000</v>
      </c>
    </row>
    <row r="4" spans="1:25" ht="42" customHeight="1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5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</row>
    <row r="5" spans="1:25" x14ac:dyDescent="0.35">
      <c r="A5" s="4" t="s">
        <v>30</v>
      </c>
      <c r="B5" s="4" t="s">
        <v>544</v>
      </c>
      <c r="C5" s="4" t="s">
        <v>32</v>
      </c>
      <c r="D5" s="4" t="s">
        <v>33</v>
      </c>
      <c r="E5" s="4" t="s">
        <v>34</v>
      </c>
      <c r="F5" s="4" t="s">
        <v>545</v>
      </c>
      <c r="G5" s="5">
        <v>479</v>
      </c>
      <c r="H5" s="5">
        <v>11</v>
      </c>
      <c r="I5" s="6">
        <f t="shared" ref="I5:I28" si="0">G5-H5</f>
        <v>468</v>
      </c>
      <c r="J5" s="5">
        <v>202</v>
      </c>
      <c r="K5" s="5">
        <v>183</v>
      </c>
      <c r="L5" s="5">
        <v>12000</v>
      </c>
      <c r="M5" s="7">
        <f t="shared" ref="M5:M28" si="1">G5/L5</f>
        <v>3.991666666666667E-2</v>
      </c>
      <c r="N5" s="5">
        <v>74</v>
      </c>
      <c r="O5" s="5">
        <v>275</v>
      </c>
      <c r="P5" s="5">
        <v>2</v>
      </c>
      <c r="Q5" s="5">
        <v>45</v>
      </c>
      <c r="R5" s="8">
        <v>0.76</v>
      </c>
      <c r="S5" s="9">
        <f t="shared" ref="S5:S28" si="2">G5*R5</f>
        <v>364.04</v>
      </c>
      <c r="T5" s="4" t="s">
        <v>36</v>
      </c>
      <c r="U5" s="10">
        <v>46246</v>
      </c>
      <c r="V5" s="10">
        <v>46291</v>
      </c>
      <c r="W5" s="4">
        <v>2</v>
      </c>
      <c r="X5" s="4">
        <v>6</v>
      </c>
      <c r="Y5" s="6" t="str">
        <f t="shared" ref="Y5:Y28" si="3">IF(I5&lt;=K5,"Critical",IF(I5&lt;=J5,"Reorder",IF(I5&lt;N5,"Below Forecast","Healthy")))</f>
        <v>Healthy</v>
      </c>
    </row>
    <row r="6" spans="1:25" x14ac:dyDescent="0.35">
      <c r="A6" s="11" t="s">
        <v>37</v>
      </c>
      <c r="B6" s="11" t="s">
        <v>546</v>
      </c>
      <c r="C6" s="11" t="s">
        <v>32</v>
      </c>
      <c r="D6" s="11" t="s">
        <v>39</v>
      </c>
      <c r="E6" s="11" t="s">
        <v>34</v>
      </c>
      <c r="F6" s="11" t="s">
        <v>547</v>
      </c>
      <c r="G6" s="12">
        <v>421</v>
      </c>
      <c r="H6" s="12">
        <v>28</v>
      </c>
      <c r="I6" s="13">
        <f t="shared" si="0"/>
        <v>393</v>
      </c>
      <c r="J6" s="12">
        <v>212</v>
      </c>
      <c r="K6" s="12">
        <v>195</v>
      </c>
      <c r="L6" s="12">
        <v>12000</v>
      </c>
      <c r="M6" s="14">
        <f t="shared" si="1"/>
        <v>3.5083333333333334E-2</v>
      </c>
      <c r="N6" s="12">
        <v>123</v>
      </c>
      <c r="O6" s="12">
        <v>537</v>
      </c>
      <c r="P6" s="12">
        <v>5</v>
      </c>
      <c r="Q6" s="12">
        <v>18</v>
      </c>
      <c r="R6" s="15">
        <v>3.9</v>
      </c>
      <c r="S6" s="16">
        <f t="shared" si="2"/>
        <v>1641.8999999999999</v>
      </c>
      <c r="T6" s="11" t="s">
        <v>41</v>
      </c>
      <c r="U6" s="17">
        <v>46251</v>
      </c>
      <c r="V6" s="17">
        <v>46269</v>
      </c>
      <c r="W6" s="11">
        <v>13</v>
      </c>
      <c r="X6" s="11">
        <v>18</v>
      </c>
      <c r="Y6" s="13" t="str">
        <f t="shared" si="3"/>
        <v>Healthy</v>
      </c>
    </row>
    <row r="7" spans="1:25" x14ac:dyDescent="0.35">
      <c r="A7" s="4" t="s">
        <v>42</v>
      </c>
      <c r="B7" s="4" t="s">
        <v>548</v>
      </c>
      <c r="C7" s="4" t="s">
        <v>32</v>
      </c>
      <c r="D7" s="4" t="s">
        <v>44</v>
      </c>
      <c r="E7" s="4" t="s">
        <v>34</v>
      </c>
      <c r="F7" s="4" t="s">
        <v>549</v>
      </c>
      <c r="G7" s="5">
        <v>422</v>
      </c>
      <c r="H7" s="5">
        <v>64</v>
      </c>
      <c r="I7" s="6">
        <f t="shared" si="0"/>
        <v>358</v>
      </c>
      <c r="J7" s="5">
        <v>105</v>
      </c>
      <c r="K7" s="5">
        <v>42</v>
      </c>
      <c r="L7" s="5">
        <v>12000</v>
      </c>
      <c r="M7" s="7">
        <f t="shared" si="1"/>
        <v>3.5166666666666666E-2</v>
      </c>
      <c r="N7" s="5">
        <v>107</v>
      </c>
      <c r="O7" s="5">
        <v>388</v>
      </c>
      <c r="P7" s="5">
        <v>3</v>
      </c>
      <c r="Q7" s="5">
        <v>38</v>
      </c>
      <c r="R7" s="8">
        <v>0.86</v>
      </c>
      <c r="S7" s="9">
        <f t="shared" si="2"/>
        <v>362.92</v>
      </c>
      <c r="T7" s="4" t="s">
        <v>46</v>
      </c>
      <c r="U7" s="10">
        <v>46249</v>
      </c>
      <c r="V7" s="10">
        <v>46287</v>
      </c>
      <c r="W7" s="4">
        <v>4</v>
      </c>
      <c r="X7" s="4">
        <v>8</v>
      </c>
      <c r="Y7" s="6" t="str">
        <f t="shared" si="3"/>
        <v>Healthy</v>
      </c>
    </row>
    <row r="8" spans="1:25" x14ac:dyDescent="0.35">
      <c r="A8" s="11" t="s">
        <v>47</v>
      </c>
      <c r="B8" s="11" t="s">
        <v>550</v>
      </c>
      <c r="C8" s="11" t="s">
        <v>32</v>
      </c>
      <c r="D8" s="11" t="s">
        <v>49</v>
      </c>
      <c r="E8" s="11" t="s">
        <v>34</v>
      </c>
      <c r="F8" s="11" t="s">
        <v>551</v>
      </c>
      <c r="G8" s="12">
        <v>587</v>
      </c>
      <c r="H8" s="12">
        <v>82</v>
      </c>
      <c r="I8" s="13">
        <f t="shared" si="0"/>
        <v>505</v>
      </c>
      <c r="J8" s="12">
        <v>130</v>
      </c>
      <c r="K8" s="12">
        <v>114</v>
      </c>
      <c r="L8" s="12">
        <v>12000</v>
      </c>
      <c r="M8" s="14">
        <f t="shared" si="1"/>
        <v>4.8916666666666664E-2</v>
      </c>
      <c r="N8" s="12">
        <v>165</v>
      </c>
      <c r="O8" s="12">
        <v>683</v>
      </c>
      <c r="P8" s="12">
        <v>3</v>
      </c>
      <c r="Q8" s="12">
        <v>35</v>
      </c>
      <c r="R8" s="15">
        <v>0.92</v>
      </c>
      <c r="S8" s="16">
        <f t="shared" si="2"/>
        <v>540.04000000000008</v>
      </c>
      <c r="T8" s="11" t="s">
        <v>36</v>
      </c>
      <c r="U8" s="17">
        <v>46250</v>
      </c>
      <c r="V8" s="17">
        <v>46285</v>
      </c>
      <c r="W8" s="11">
        <v>1</v>
      </c>
      <c r="X8" s="11">
        <v>5</v>
      </c>
      <c r="Y8" s="13" t="str">
        <f t="shared" si="3"/>
        <v>Healthy</v>
      </c>
    </row>
    <row r="9" spans="1:25" x14ac:dyDescent="0.35">
      <c r="A9" s="4" t="s">
        <v>51</v>
      </c>
      <c r="B9" s="4" t="s">
        <v>552</v>
      </c>
      <c r="C9" s="4" t="s">
        <v>32</v>
      </c>
      <c r="D9" s="4" t="s">
        <v>53</v>
      </c>
      <c r="E9" s="4" t="s">
        <v>54</v>
      </c>
      <c r="F9" s="4" t="s">
        <v>553</v>
      </c>
      <c r="G9" s="5">
        <v>608</v>
      </c>
      <c r="H9" s="5">
        <v>12</v>
      </c>
      <c r="I9" s="6">
        <f t="shared" si="0"/>
        <v>596</v>
      </c>
      <c r="J9" s="5">
        <v>211</v>
      </c>
      <c r="K9" s="5">
        <v>161</v>
      </c>
      <c r="L9" s="5">
        <v>12000</v>
      </c>
      <c r="M9" s="7">
        <f t="shared" si="1"/>
        <v>5.0666666666666665E-2</v>
      </c>
      <c r="N9" s="5">
        <v>143</v>
      </c>
      <c r="O9" s="5">
        <v>566</v>
      </c>
      <c r="P9" s="5">
        <v>1</v>
      </c>
      <c r="Q9" s="5">
        <v>7</v>
      </c>
      <c r="R9" s="8">
        <v>0.78</v>
      </c>
      <c r="S9" s="9">
        <f t="shared" si="2"/>
        <v>474.24</v>
      </c>
      <c r="T9" s="4" t="s">
        <v>56</v>
      </c>
      <c r="U9" s="10">
        <v>46248</v>
      </c>
      <c r="V9" s="10">
        <v>46255</v>
      </c>
      <c r="W9" s="4">
        <v>2</v>
      </c>
      <c r="X9" s="4">
        <v>5</v>
      </c>
      <c r="Y9" s="6" t="str">
        <f t="shared" si="3"/>
        <v>Healthy</v>
      </c>
    </row>
    <row r="10" spans="1:25" x14ac:dyDescent="0.35">
      <c r="A10" s="11" t="s">
        <v>57</v>
      </c>
      <c r="B10" s="11" t="s">
        <v>554</v>
      </c>
      <c r="C10" s="11" t="s">
        <v>32</v>
      </c>
      <c r="D10" s="11" t="s">
        <v>59</v>
      </c>
      <c r="E10" s="11" t="s">
        <v>54</v>
      </c>
      <c r="F10" s="11" t="s">
        <v>555</v>
      </c>
      <c r="G10" s="12">
        <v>379</v>
      </c>
      <c r="H10" s="12">
        <v>71</v>
      </c>
      <c r="I10" s="13">
        <f t="shared" si="0"/>
        <v>308</v>
      </c>
      <c r="J10" s="12">
        <v>187</v>
      </c>
      <c r="K10" s="12">
        <v>103</v>
      </c>
      <c r="L10" s="12">
        <v>12000</v>
      </c>
      <c r="M10" s="14">
        <f t="shared" si="1"/>
        <v>3.1583333333333331E-2</v>
      </c>
      <c r="N10" s="12">
        <v>290</v>
      </c>
      <c r="O10" s="12">
        <v>1136</v>
      </c>
      <c r="P10" s="12">
        <v>2</v>
      </c>
      <c r="Q10" s="12">
        <v>14</v>
      </c>
      <c r="R10" s="15">
        <v>3.56</v>
      </c>
      <c r="S10" s="16">
        <f t="shared" si="2"/>
        <v>1349.24</v>
      </c>
      <c r="T10" s="11" t="s">
        <v>56</v>
      </c>
      <c r="U10" s="17">
        <v>46248</v>
      </c>
      <c r="V10" s="17">
        <v>46262</v>
      </c>
      <c r="W10" s="11">
        <v>2</v>
      </c>
      <c r="X10" s="11">
        <v>6</v>
      </c>
      <c r="Y10" s="13" t="str">
        <f t="shared" si="3"/>
        <v>Healthy</v>
      </c>
    </row>
    <row r="11" spans="1:25" x14ac:dyDescent="0.35">
      <c r="A11" s="4" t="s">
        <v>61</v>
      </c>
      <c r="B11" s="4" t="s">
        <v>556</v>
      </c>
      <c r="C11" s="4" t="s">
        <v>32</v>
      </c>
      <c r="D11" s="4" t="s">
        <v>63</v>
      </c>
      <c r="E11" s="4" t="s">
        <v>54</v>
      </c>
      <c r="F11" s="4" t="s">
        <v>557</v>
      </c>
      <c r="G11" s="5">
        <v>533</v>
      </c>
      <c r="H11" s="5">
        <v>24</v>
      </c>
      <c r="I11" s="6">
        <f t="shared" si="0"/>
        <v>509</v>
      </c>
      <c r="J11" s="5">
        <v>201</v>
      </c>
      <c r="K11" s="5">
        <v>67</v>
      </c>
      <c r="L11" s="5">
        <v>12000</v>
      </c>
      <c r="M11" s="7">
        <f t="shared" si="1"/>
        <v>4.4416666666666667E-2</v>
      </c>
      <c r="N11" s="5">
        <v>182</v>
      </c>
      <c r="O11" s="5">
        <v>842</v>
      </c>
      <c r="P11" s="5">
        <v>3</v>
      </c>
      <c r="Q11" s="5">
        <v>21</v>
      </c>
      <c r="R11" s="8">
        <v>1.48</v>
      </c>
      <c r="S11" s="9">
        <f t="shared" si="2"/>
        <v>788.84</v>
      </c>
      <c r="T11" s="4" t="s">
        <v>65</v>
      </c>
      <c r="U11" s="10">
        <v>46245</v>
      </c>
      <c r="V11" s="10">
        <v>46266</v>
      </c>
      <c r="W11" s="4">
        <v>2</v>
      </c>
      <c r="X11" s="4">
        <v>7</v>
      </c>
      <c r="Y11" s="6" t="str">
        <f t="shared" si="3"/>
        <v>Healthy</v>
      </c>
    </row>
    <row r="12" spans="1:25" x14ac:dyDescent="0.35">
      <c r="A12" s="11" t="s">
        <v>66</v>
      </c>
      <c r="B12" s="11" t="s">
        <v>558</v>
      </c>
      <c r="C12" s="11" t="s">
        <v>32</v>
      </c>
      <c r="D12" s="11" t="s">
        <v>68</v>
      </c>
      <c r="E12" s="11" t="s">
        <v>69</v>
      </c>
      <c r="F12" s="11" t="s">
        <v>559</v>
      </c>
      <c r="G12" s="12">
        <v>219</v>
      </c>
      <c r="H12" s="12">
        <v>10</v>
      </c>
      <c r="I12" s="13">
        <f t="shared" si="0"/>
        <v>209</v>
      </c>
      <c r="J12" s="12">
        <v>139</v>
      </c>
      <c r="K12" s="12">
        <v>51</v>
      </c>
      <c r="L12" s="12">
        <v>12000</v>
      </c>
      <c r="M12" s="14">
        <f t="shared" si="1"/>
        <v>1.8249999999999999E-2</v>
      </c>
      <c r="N12" s="12">
        <v>112</v>
      </c>
      <c r="O12" s="12">
        <v>508</v>
      </c>
      <c r="P12" s="12">
        <v>5</v>
      </c>
      <c r="Q12" s="12">
        <v>14</v>
      </c>
      <c r="R12" s="15">
        <v>3.67</v>
      </c>
      <c r="S12" s="16">
        <f t="shared" si="2"/>
        <v>803.73</v>
      </c>
      <c r="T12" s="11" t="s">
        <v>41</v>
      </c>
      <c r="U12" s="17">
        <v>46244</v>
      </c>
      <c r="V12" s="17">
        <v>46258</v>
      </c>
      <c r="W12" s="11">
        <v>10</v>
      </c>
      <c r="X12" s="11">
        <v>14</v>
      </c>
      <c r="Y12" s="13" t="str">
        <f t="shared" si="3"/>
        <v>Healthy</v>
      </c>
    </row>
    <row r="13" spans="1:25" x14ac:dyDescent="0.35">
      <c r="A13" s="4" t="s">
        <v>71</v>
      </c>
      <c r="B13" s="4" t="s">
        <v>560</v>
      </c>
      <c r="C13" s="4" t="s">
        <v>32</v>
      </c>
      <c r="D13" s="4" t="s">
        <v>73</v>
      </c>
      <c r="E13" s="4" t="s">
        <v>69</v>
      </c>
      <c r="F13" s="4" t="s">
        <v>561</v>
      </c>
      <c r="G13" s="5">
        <v>101</v>
      </c>
      <c r="H13" s="5">
        <v>23</v>
      </c>
      <c r="I13" s="6">
        <f t="shared" si="0"/>
        <v>78</v>
      </c>
      <c r="J13" s="5">
        <v>153</v>
      </c>
      <c r="K13" s="5">
        <v>62</v>
      </c>
      <c r="L13" s="5">
        <v>12000</v>
      </c>
      <c r="M13" s="7">
        <f t="shared" si="1"/>
        <v>8.416666666666666E-3</v>
      </c>
      <c r="N13" s="5">
        <v>151</v>
      </c>
      <c r="O13" s="5">
        <v>615</v>
      </c>
      <c r="P13" s="5">
        <v>6</v>
      </c>
      <c r="Q13" s="5">
        <v>18</v>
      </c>
      <c r="R13" s="8">
        <v>1.89</v>
      </c>
      <c r="S13" s="9">
        <f t="shared" si="2"/>
        <v>190.89</v>
      </c>
      <c r="T13" s="4" t="s">
        <v>41</v>
      </c>
      <c r="U13" s="10">
        <v>46250</v>
      </c>
      <c r="V13" s="10">
        <v>46268</v>
      </c>
      <c r="W13" s="4">
        <v>8</v>
      </c>
      <c r="X13" s="4">
        <v>13</v>
      </c>
      <c r="Y13" s="6" t="str">
        <f t="shared" si="3"/>
        <v>Reorder</v>
      </c>
    </row>
    <row r="14" spans="1:25" x14ac:dyDescent="0.35">
      <c r="A14" s="11" t="s">
        <v>75</v>
      </c>
      <c r="B14" s="11" t="s">
        <v>562</v>
      </c>
      <c r="C14" s="11" t="s">
        <v>32</v>
      </c>
      <c r="D14" s="11" t="s">
        <v>77</v>
      </c>
      <c r="E14" s="11" t="s">
        <v>34</v>
      </c>
      <c r="F14" s="11" t="s">
        <v>563</v>
      </c>
      <c r="G14" s="12">
        <v>273</v>
      </c>
      <c r="H14" s="12">
        <v>66</v>
      </c>
      <c r="I14" s="13">
        <f t="shared" si="0"/>
        <v>207</v>
      </c>
      <c r="J14" s="12">
        <v>147</v>
      </c>
      <c r="K14" s="12">
        <v>72</v>
      </c>
      <c r="L14" s="12">
        <v>12000</v>
      </c>
      <c r="M14" s="14">
        <f t="shared" si="1"/>
        <v>2.2749999999999999E-2</v>
      </c>
      <c r="N14" s="12">
        <v>115</v>
      </c>
      <c r="O14" s="12">
        <v>503</v>
      </c>
      <c r="P14" s="12">
        <v>3</v>
      </c>
      <c r="Q14" s="12">
        <v>42</v>
      </c>
      <c r="R14" s="15">
        <v>0.74</v>
      </c>
      <c r="S14" s="16">
        <f t="shared" si="2"/>
        <v>202.02</v>
      </c>
      <c r="T14" s="11" t="s">
        <v>46</v>
      </c>
      <c r="U14" s="17">
        <v>46245</v>
      </c>
      <c r="V14" s="17">
        <v>46287</v>
      </c>
      <c r="W14" s="11">
        <v>5</v>
      </c>
      <c r="X14" s="11">
        <v>9</v>
      </c>
      <c r="Y14" s="13" t="str">
        <f t="shared" si="3"/>
        <v>Healthy</v>
      </c>
    </row>
    <row r="15" spans="1:25" x14ac:dyDescent="0.35">
      <c r="A15" s="4" t="s">
        <v>79</v>
      </c>
      <c r="B15" s="4" t="s">
        <v>564</v>
      </c>
      <c r="C15" s="4" t="s">
        <v>81</v>
      </c>
      <c r="D15" s="4" t="s">
        <v>82</v>
      </c>
      <c r="E15" s="4" t="s">
        <v>34</v>
      </c>
      <c r="F15" s="4" t="s">
        <v>565</v>
      </c>
      <c r="G15" s="5">
        <v>503</v>
      </c>
      <c r="H15" s="5">
        <v>7</v>
      </c>
      <c r="I15" s="6">
        <f t="shared" si="0"/>
        <v>496</v>
      </c>
      <c r="J15" s="5">
        <v>212</v>
      </c>
      <c r="K15" s="5">
        <v>63</v>
      </c>
      <c r="L15" s="5">
        <v>12000</v>
      </c>
      <c r="M15" s="7">
        <f t="shared" si="1"/>
        <v>4.1916666666666665E-2</v>
      </c>
      <c r="N15" s="5">
        <v>193</v>
      </c>
      <c r="O15" s="5">
        <v>770</v>
      </c>
      <c r="P15" s="5">
        <v>2</v>
      </c>
      <c r="Q15" s="5">
        <v>75</v>
      </c>
      <c r="R15" s="8">
        <v>3.34</v>
      </c>
      <c r="S15" s="9">
        <f t="shared" si="2"/>
        <v>1680.02</v>
      </c>
      <c r="T15" s="4" t="s">
        <v>84</v>
      </c>
      <c r="U15" s="10">
        <v>46244</v>
      </c>
      <c r="V15" s="10">
        <v>46319</v>
      </c>
      <c r="W15" s="4">
        <v>6</v>
      </c>
      <c r="X15" s="4">
        <v>12</v>
      </c>
      <c r="Y15" s="6" t="str">
        <f t="shared" si="3"/>
        <v>Healthy</v>
      </c>
    </row>
    <row r="16" spans="1:25" x14ac:dyDescent="0.35">
      <c r="A16" s="11" t="s">
        <v>85</v>
      </c>
      <c r="B16" s="11" t="s">
        <v>566</v>
      </c>
      <c r="C16" s="11" t="s">
        <v>81</v>
      </c>
      <c r="D16" s="11" t="s">
        <v>87</v>
      </c>
      <c r="E16" s="11" t="s">
        <v>34</v>
      </c>
      <c r="F16" s="11" t="s">
        <v>567</v>
      </c>
      <c r="G16" s="12">
        <v>242</v>
      </c>
      <c r="H16" s="12">
        <v>12</v>
      </c>
      <c r="I16" s="13">
        <f t="shared" si="0"/>
        <v>230</v>
      </c>
      <c r="J16" s="12">
        <v>149</v>
      </c>
      <c r="K16" s="12">
        <v>30</v>
      </c>
      <c r="L16" s="12">
        <v>12000</v>
      </c>
      <c r="M16" s="14">
        <f t="shared" si="1"/>
        <v>2.0166666666666666E-2</v>
      </c>
      <c r="N16" s="12">
        <v>231</v>
      </c>
      <c r="O16" s="12">
        <v>941</v>
      </c>
      <c r="P16" s="12">
        <v>2</v>
      </c>
      <c r="Q16" s="12">
        <v>35</v>
      </c>
      <c r="R16" s="15">
        <v>4.79</v>
      </c>
      <c r="S16" s="16">
        <f t="shared" si="2"/>
        <v>1159.18</v>
      </c>
      <c r="T16" s="11" t="s">
        <v>89</v>
      </c>
      <c r="U16" s="17">
        <v>46251</v>
      </c>
      <c r="V16" s="17">
        <v>46286</v>
      </c>
      <c r="W16" s="11">
        <v>2</v>
      </c>
      <c r="X16" s="11">
        <v>6</v>
      </c>
      <c r="Y16" s="13" t="str">
        <f t="shared" si="3"/>
        <v>Below Forecast</v>
      </c>
    </row>
    <row r="17" spans="1:25" x14ac:dyDescent="0.35">
      <c r="A17" s="4" t="s">
        <v>90</v>
      </c>
      <c r="B17" s="4" t="s">
        <v>568</v>
      </c>
      <c r="C17" s="4" t="s">
        <v>81</v>
      </c>
      <c r="D17" s="4" t="s">
        <v>92</v>
      </c>
      <c r="E17" s="4" t="s">
        <v>69</v>
      </c>
      <c r="F17" s="4" t="s">
        <v>569</v>
      </c>
      <c r="G17" s="5">
        <v>567</v>
      </c>
      <c r="H17" s="5">
        <v>14</v>
      </c>
      <c r="I17" s="6">
        <f t="shared" si="0"/>
        <v>553</v>
      </c>
      <c r="J17" s="5">
        <v>141</v>
      </c>
      <c r="K17" s="5">
        <v>68</v>
      </c>
      <c r="L17" s="5">
        <v>12000</v>
      </c>
      <c r="M17" s="7">
        <f t="shared" si="1"/>
        <v>4.725E-2</v>
      </c>
      <c r="N17" s="5">
        <v>198</v>
      </c>
      <c r="O17" s="5">
        <v>858</v>
      </c>
      <c r="P17" s="5">
        <v>2</v>
      </c>
      <c r="Q17" s="5">
        <v>12</v>
      </c>
      <c r="R17" s="8">
        <v>2.17</v>
      </c>
      <c r="S17" s="9">
        <f t="shared" si="2"/>
        <v>1230.3899999999999</v>
      </c>
      <c r="T17" s="4" t="s">
        <v>84</v>
      </c>
      <c r="U17" s="10">
        <v>46250</v>
      </c>
      <c r="V17" s="10">
        <v>46262</v>
      </c>
      <c r="W17" s="4">
        <v>1</v>
      </c>
      <c r="X17" s="4">
        <v>5</v>
      </c>
      <c r="Y17" s="6" t="str">
        <f t="shared" si="3"/>
        <v>Healthy</v>
      </c>
    </row>
    <row r="18" spans="1:25" x14ac:dyDescent="0.35">
      <c r="A18" s="11" t="s">
        <v>94</v>
      </c>
      <c r="B18" s="11" t="s">
        <v>570</v>
      </c>
      <c r="C18" s="11" t="s">
        <v>81</v>
      </c>
      <c r="D18" s="11" t="s">
        <v>96</v>
      </c>
      <c r="E18" s="11" t="s">
        <v>97</v>
      </c>
      <c r="F18" s="11" t="s">
        <v>571</v>
      </c>
      <c r="G18" s="12">
        <v>472</v>
      </c>
      <c r="H18" s="12">
        <v>80</v>
      </c>
      <c r="I18" s="13">
        <f t="shared" si="0"/>
        <v>392</v>
      </c>
      <c r="J18" s="12">
        <v>89</v>
      </c>
      <c r="K18" s="12">
        <v>53</v>
      </c>
      <c r="L18" s="12">
        <v>12000</v>
      </c>
      <c r="M18" s="14">
        <f t="shared" si="1"/>
        <v>3.9333333333333331E-2</v>
      </c>
      <c r="N18" s="12">
        <v>151</v>
      </c>
      <c r="O18" s="12">
        <v>699</v>
      </c>
      <c r="P18" s="12">
        <v>1</v>
      </c>
      <c r="Q18" s="12">
        <v>7</v>
      </c>
      <c r="R18" s="15">
        <v>1.82</v>
      </c>
      <c r="S18" s="16">
        <f t="shared" si="2"/>
        <v>859.04000000000008</v>
      </c>
      <c r="T18" s="11" t="s">
        <v>99</v>
      </c>
      <c r="U18" s="17">
        <v>46248</v>
      </c>
      <c r="V18" s="17">
        <v>46255</v>
      </c>
      <c r="W18" s="11">
        <v>2</v>
      </c>
      <c r="X18" s="11">
        <v>5</v>
      </c>
      <c r="Y18" s="13" t="str">
        <f t="shared" si="3"/>
        <v>Healthy</v>
      </c>
    </row>
    <row r="19" spans="1:25" x14ac:dyDescent="0.35">
      <c r="A19" s="4" t="s">
        <v>100</v>
      </c>
      <c r="B19" s="4" t="s">
        <v>572</v>
      </c>
      <c r="C19" s="4" t="s">
        <v>81</v>
      </c>
      <c r="D19" s="4" t="s">
        <v>102</v>
      </c>
      <c r="E19" s="4" t="s">
        <v>34</v>
      </c>
      <c r="F19" s="4" t="s">
        <v>573</v>
      </c>
      <c r="G19" s="5">
        <v>495</v>
      </c>
      <c r="H19" s="5">
        <v>65</v>
      </c>
      <c r="I19" s="6">
        <f t="shared" si="0"/>
        <v>430</v>
      </c>
      <c r="J19" s="5">
        <v>203</v>
      </c>
      <c r="K19" s="5">
        <v>167</v>
      </c>
      <c r="L19" s="5">
        <v>12000</v>
      </c>
      <c r="M19" s="7">
        <f t="shared" si="1"/>
        <v>4.1250000000000002E-2</v>
      </c>
      <c r="N19" s="5">
        <v>190</v>
      </c>
      <c r="O19" s="5">
        <v>746</v>
      </c>
      <c r="P19" s="5">
        <v>2</v>
      </c>
      <c r="Q19" s="5">
        <v>14</v>
      </c>
      <c r="R19" s="8">
        <v>2.95</v>
      </c>
      <c r="S19" s="9">
        <f t="shared" si="2"/>
        <v>1460.25</v>
      </c>
      <c r="T19" s="4" t="s">
        <v>104</v>
      </c>
      <c r="U19" s="10">
        <v>46246</v>
      </c>
      <c r="V19" s="10">
        <v>46260</v>
      </c>
      <c r="W19" s="4">
        <v>8</v>
      </c>
      <c r="X19" s="4">
        <v>12</v>
      </c>
      <c r="Y19" s="6" t="str">
        <f t="shared" si="3"/>
        <v>Healthy</v>
      </c>
    </row>
    <row r="20" spans="1:25" x14ac:dyDescent="0.35">
      <c r="A20" s="11" t="s">
        <v>105</v>
      </c>
      <c r="B20" s="11" t="s">
        <v>574</v>
      </c>
      <c r="C20" s="11" t="s">
        <v>81</v>
      </c>
      <c r="D20" s="11" t="s">
        <v>107</v>
      </c>
      <c r="E20" s="11" t="s">
        <v>69</v>
      </c>
      <c r="F20" s="11" t="s">
        <v>575</v>
      </c>
      <c r="G20" s="12">
        <v>264</v>
      </c>
      <c r="H20" s="12">
        <v>2</v>
      </c>
      <c r="I20" s="13">
        <f t="shared" si="0"/>
        <v>262</v>
      </c>
      <c r="J20" s="12">
        <v>159</v>
      </c>
      <c r="K20" s="12">
        <v>68</v>
      </c>
      <c r="L20" s="12">
        <v>12000</v>
      </c>
      <c r="M20" s="14">
        <f t="shared" si="1"/>
        <v>2.1999999999999999E-2</v>
      </c>
      <c r="N20" s="12">
        <v>229</v>
      </c>
      <c r="O20" s="12">
        <v>939</v>
      </c>
      <c r="P20" s="12">
        <v>2</v>
      </c>
      <c r="Q20" s="12">
        <v>14</v>
      </c>
      <c r="R20" s="15">
        <v>0.64</v>
      </c>
      <c r="S20" s="16">
        <f t="shared" si="2"/>
        <v>168.96</v>
      </c>
      <c r="T20" s="11" t="s">
        <v>104</v>
      </c>
      <c r="U20" s="17">
        <v>46247</v>
      </c>
      <c r="V20" s="17">
        <v>46261</v>
      </c>
      <c r="W20" s="11">
        <v>8</v>
      </c>
      <c r="X20" s="11">
        <v>12</v>
      </c>
      <c r="Y20" s="13" t="str">
        <f t="shared" si="3"/>
        <v>Healthy</v>
      </c>
    </row>
    <row r="21" spans="1:25" x14ac:dyDescent="0.35">
      <c r="A21" s="4" t="s">
        <v>109</v>
      </c>
      <c r="B21" s="4" t="s">
        <v>576</v>
      </c>
      <c r="C21" s="4" t="s">
        <v>81</v>
      </c>
      <c r="D21" s="4" t="s">
        <v>111</v>
      </c>
      <c r="E21" s="4" t="s">
        <v>112</v>
      </c>
      <c r="F21" s="4" t="s">
        <v>577</v>
      </c>
      <c r="G21" s="5">
        <v>247</v>
      </c>
      <c r="H21" s="5">
        <v>73</v>
      </c>
      <c r="I21" s="6">
        <f t="shared" si="0"/>
        <v>174</v>
      </c>
      <c r="J21" s="5">
        <v>159</v>
      </c>
      <c r="K21" s="5">
        <v>126</v>
      </c>
      <c r="L21" s="5">
        <v>12000</v>
      </c>
      <c r="M21" s="7">
        <f t="shared" si="1"/>
        <v>2.0583333333333332E-2</v>
      </c>
      <c r="N21" s="5">
        <v>294</v>
      </c>
      <c r="O21" s="5">
        <v>1265</v>
      </c>
      <c r="P21" s="5">
        <v>3</v>
      </c>
      <c r="Q21" s="5">
        <v>18</v>
      </c>
      <c r="R21" s="8">
        <v>3.29</v>
      </c>
      <c r="S21" s="9">
        <f t="shared" si="2"/>
        <v>812.63</v>
      </c>
      <c r="T21" s="4" t="s">
        <v>104</v>
      </c>
      <c r="U21" s="10">
        <v>46250</v>
      </c>
      <c r="V21" s="10">
        <v>46268</v>
      </c>
      <c r="W21" s="4">
        <v>7</v>
      </c>
      <c r="X21" s="4">
        <v>10</v>
      </c>
      <c r="Y21" s="6" t="str">
        <f t="shared" si="3"/>
        <v>Below Forecast</v>
      </c>
    </row>
    <row r="22" spans="1:25" x14ac:dyDescent="0.35">
      <c r="A22" s="11" t="s">
        <v>114</v>
      </c>
      <c r="B22" s="11" t="s">
        <v>578</v>
      </c>
      <c r="C22" s="11" t="s">
        <v>81</v>
      </c>
      <c r="D22" s="11" t="s">
        <v>116</v>
      </c>
      <c r="E22" s="11" t="s">
        <v>34</v>
      </c>
      <c r="F22" s="11" t="s">
        <v>579</v>
      </c>
      <c r="G22" s="12">
        <v>299</v>
      </c>
      <c r="H22" s="12">
        <v>46</v>
      </c>
      <c r="I22" s="13">
        <f t="shared" si="0"/>
        <v>253</v>
      </c>
      <c r="J22" s="12">
        <v>201</v>
      </c>
      <c r="K22" s="12">
        <v>58</v>
      </c>
      <c r="L22" s="12">
        <v>12000</v>
      </c>
      <c r="M22" s="14">
        <f t="shared" si="1"/>
        <v>2.4916666666666667E-2</v>
      </c>
      <c r="N22" s="12">
        <v>151</v>
      </c>
      <c r="O22" s="12">
        <v>666</v>
      </c>
      <c r="P22" s="12">
        <v>2</v>
      </c>
      <c r="Q22" s="12">
        <v>60</v>
      </c>
      <c r="R22" s="15">
        <v>4.13</v>
      </c>
      <c r="S22" s="16">
        <f t="shared" si="2"/>
        <v>1234.8699999999999</v>
      </c>
      <c r="T22" s="11" t="s">
        <v>89</v>
      </c>
      <c r="U22" s="17">
        <v>46249</v>
      </c>
      <c r="V22" s="17">
        <v>46309</v>
      </c>
      <c r="W22" s="11">
        <v>5</v>
      </c>
      <c r="X22" s="11">
        <v>10</v>
      </c>
      <c r="Y22" s="13" t="str">
        <f t="shared" si="3"/>
        <v>Healthy</v>
      </c>
    </row>
    <row r="23" spans="1:25" x14ac:dyDescent="0.35">
      <c r="A23" s="4" t="s">
        <v>118</v>
      </c>
      <c r="B23" s="4" t="s">
        <v>580</v>
      </c>
      <c r="C23" s="4" t="s">
        <v>81</v>
      </c>
      <c r="D23" s="4" t="s">
        <v>120</v>
      </c>
      <c r="E23" s="4" t="s">
        <v>34</v>
      </c>
      <c r="F23" s="4" t="s">
        <v>581</v>
      </c>
      <c r="G23" s="5">
        <v>467</v>
      </c>
      <c r="H23" s="5">
        <v>8</v>
      </c>
      <c r="I23" s="6">
        <f t="shared" si="0"/>
        <v>459</v>
      </c>
      <c r="J23" s="5">
        <v>133</v>
      </c>
      <c r="K23" s="5">
        <v>123</v>
      </c>
      <c r="L23" s="5">
        <v>12000</v>
      </c>
      <c r="M23" s="7">
        <f t="shared" si="1"/>
        <v>3.8916666666666669E-2</v>
      </c>
      <c r="N23" s="5">
        <v>157</v>
      </c>
      <c r="O23" s="5">
        <v>574</v>
      </c>
      <c r="P23" s="5">
        <v>2</v>
      </c>
      <c r="Q23" s="5">
        <v>12</v>
      </c>
      <c r="R23" s="8">
        <v>0.74</v>
      </c>
      <c r="S23" s="9">
        <f t="shared" si="2"/>
        <v>345.58</v>
      </c>
      <c r="T23" s="4" t="s">
        <v>84</v>
      </c>
      <c r="U23" s="10">
        <v>46246</v>
      </c>
      <c r="V23" s="10">
        <v>46258</v>
      </c>
      <c r="W23" s="4">
        <v>6</v>
      </c>
      <c r="X23" s="4">
        <v>10</v>
      </c>
      <c r="Y23" s="6" t="str">
        <f t="shared" si="3"/>
        <v>Healthy</v>
      </c>
    </row>
    <row r="24" spans="1:25" x14ac:dyDescent="0.35">
      <c r="A24" s="11" t="s">
        <v>122</v>
      </c>
      <c r="B24" s="11" t="s">
        <v>582</v>
      </c>
      <c r="C24" s="11" t="s">
        <v>32</v>
      </c>
      <c r="D24" s="11" t="s">
        <v>124</v>
      </c>
      <c r="E24" s="11" t="s">
        <v>69</v>
      </c>
      <c r="F24" s="11" t="s">
        <v>583</v>
      </c>
      <c r="G24" s="12">
        <v>250</v>
      </c>
      <c r="H24" s="12">
        <v>14</v>
      </c>
      <c r="I24" s="13">
        <f t="shared" si="0"/>
        <v>236</v>
      </c>
      <c r="J24" s="12">
        <v>104</v>
      </c>
      <c r="K24" s="12">
        <v>70</v>
      </c>
      <c r="L24" s="12">
        <v>12000</v>
      </c>
      <c r="M24" s="14">
        <f t="shared" si="1"/>
        <v>2.0833333333333332E-2</v>
      </c>
      <c r="N24" s="12">
        <v>135</v>
      </c>
      <c r="O24" s="12">
        <v>490</v>
      </c>
      <c r="P24" s="12">
        <v>5</v>
      </c>
      <c r="Q24" s="12">
        <v>10</v>
      </c>
      <c r="R24" s="15">
        <v>2.2000000000000002</v>
      </c>
      <c r="S24" s="16">
        <f t="shared" si="2"/>
        <v>550</v>
      </c>
      <c r="T24" s="11" t="s">
        <v>41</v>
      </c>
      <c r="U24" s="17">
        <v>46249</v>
      </c>
      <c r="V24" s="17">
        <v>46259</v>
      </c>
      <c r="W24" s="11">
        <v>6</v>
      </c>
      <c r="X24" s="11">
        <v>10</v>
      </c>
      <c r="Y24" s="13" t="str">
        <f t="shared" si="3"/>
        <v>Healthy</v>
      </c>
    </row>
    <row r="25" spans="1:25" x14ac:dyDescent="0.35">
      <c r="A25" s="4" t="s">
        <v>126</v>
      </c>
      <c r="B25" s="4" t="s">
        <v>584</v>
      </c>
      <c r="C25" s="4" t="s">
        <v>81</v>
      </c>
      <c r="D25" s="4" t="s">
        <v>128</v>
      </c>
      <c r="E25" s="4" t="s">
        <v>69</v>
      </c>
      <c r="F25" s="4" t="s">
        <v>585</v>
      </c>
      <c r="G25" s="5">
        <v>136</v>
      </c>
      <c r="H25" s="5">
        <v>26</v>
      </c>
      <c r="I25" s="6">
        <f t="shared" si="0"/>
        <v>110</v>
      </c>
      <c r="J25" s="5">
        <v>179</v>
      </c>
      <c r="K25" s="5">
        <v>86</v>
      </c>
      <c r="L25" s="5">
        <v>12000</v>
      </c>
      <c r="M25" s="7">
        <f t="shared" si="1"/>
        <v>1.1333333333333334E-2</v>
      </c>
      <c r="N25" s="5">
        <v>166</v>
      </c>
      <c r="O25" s="5">
        <v>644</v>
      </c>
      <c r="P25" s="5">
        <v>2</v>
      </c>
      <c r="Q25" s="5">
        <v>12</v>
      </c>
      <c r="R25" s="8">
        <v>3.61</v>
      </c>
      <c r="S25" s="9">
        <f t="shared" si="2"/>
        <v>490.96</v>
      </c>
      <c r="T25" s="4" t="s">
        <v>84</v>
      </c>
      <c r="U25" s="10">
        <v>46247</v>
      </c>
      <c r="V25" s="10">
        <v>46259</v>
      </c>
      <c r="W25" s="4">
        <v>1</v>
      </c>
      <c r="X25" s="4">
        <v>5</v>
      </c>
      <c r="Y25" s="6" t="str">
        <f t="shared" si="3"/>
        <v>Reorder</v>
      </c>
    </row>
    <row r="26" spans="1:25" x14ac:dyDescent="0.35">
      <c r="A26" s="11" t="s">
        <v>130</v>
      </c>
      <c r="B26" s="11" t="s">
        <v>586</v>
      </c>
      <c r="C26" s="11" t="s">
        <v>81</v>
      </c>
      <c r="D26" s="11" t="s">
        <v>132</v>
      </c>
      <c r="E26" s="11" t="s">
        <v>34</v>
      </c>
      <c r="F26" s="11" t="s">
        <v>587</v>
      </c>
      <c r="G26" s="12">
        <v>209</v>
      </c>
      <c r="H26" s="12">
        <v>35</v>
      </c>
      <c r="I26" s="13">
        <f t="shared" si="0"/>
        <v>174</v>
      </c>
      <c r="J26" s="12">
        <v>157</v>
      </c>
      <c r="K26" s="12">
        <v>54</v>
      </c>
      <c r="L26" s="12">
        <v>12000</v>
      </c>
      <c r="M26" s="14">
        <f t="shared" si="1"/>
        <v>1.7416666666666667E-2</v>
      </c>
      <c r="N26" s="12">
        <v>130</v>
      </c>
      <c r="O26" s="12">
        <v>474</v>
      </c>
      <c r="P26" s="12">
        <v>3</v>
      </c>
      <c r="Q26" s="12">
        <v>40</v>
      </c>
      <c r="R26" s="15">
        <v>3.58</v>
      </c>
      <c r="S26" s="16">
        <f t="shared" si="2"/>
        <v>748.22</v>
      </c>
      <c r="T26" s="11" t="s">
        <v>89</v>
      </c>
      <c r="U26" s="17">
        <v>46250</v>
      </c>
      <c r="V26" s="17">
        <v>46290</v>
      </c>
      <c r="W26" s="11">
        <v>8</v>
      </c>
      <c r="X26" s="11">
        <v>13</v>
      </c>
      <c r="Y26" s="13" t="str">
        <f t="shared" si="3"/>
        <v>Healthy</v>
      </c>
    </row>
    <row r="27" spans="1:25" x14ac:dyDescent="0.35">
      <c r="A27" s="4" t="s">
        <v>134</v>
      </c>
      <c r="B27" s="4" t="s">
        <v>588</v>
      </c>
      <c r="C27" s="4" t="s">
        <v>32</v>
      </c>
      <c r="D27" s="4" t="s">
        <v>136</v>
      </c>
      <c r="E27" s="4" t="s">
        <v>112</v>
      </c>
      <c r="F27" s="4" t="s">
        <v>589</v>
      </c>
      <c r="G27" s="5">
        <v>573</v>
      </c>
      <c r="H27" s="5">
        <v>35</v>
      </c>
      <c r="I27" s="6">
        <f t="shared" si="0"/>
        <v>538</v>
      </c>
      <c r="J27" s="5">
        <v>171</v>
      </c>
      <c r="K27" s="5">
        <v>55</v>
      </c>
      <c r="L27" s="5">
        <v>12000</v>
      </c>
      <c r="M27" s="7">
        <f t="shared" si="1"/>
        <v>4.7750000000000001E-2</v>
      </c>
      <c r="N27" s="5">
        <v>292</v>
      </c>
      <c r="O27" s="5">
        <v>1153</v>
      </c>
      <c r="P27" s="5">
        <v>5</v>
      </c>
      <c r="Q27" s="5">
        <v>28</v>
      </c>
      <c r="R27" s="8">
        <v>2.79</v>
      </c>
      <c r="S27" s="9">
        <f t="shared" si="2"/>
        <v>1598.67</v>
      </c>
      <c r="T27" s="4" t="s">
        <v>65</v>
      </c>
      <c r="U27" s="10">
        <v>46248</v>
      </c>
      <c r="V27" s="10">
        <v>46276</v>
      </c>
      <c r="W27" s="4">
        <v>2</v>
      </c>
      <c r="X27" s="4">
        <v>6</v>
      </c>
      <c r="Y27" s="6" t="str">
        <f t="shared" si="3"/>
        <v>Healthy</v>
      </c>
    </row>
    <row r="28" spans="1:25" x14ac:dyDescent="0.35">
      <c r="A28" s="11" t="s">
        <v>138</v>
      </c>
      <c r="B28" s="11" t="s">
        <v>590</v>
      </c>
      <c r="C28" s="11" t="s">
        <v>32</v>
      </c>
      <c r="D28" s="11" t="s">
        <v>140</v>
      </c>
      <c r="E28" s="11" t="s">
        <v>54</v>
      </c>
      <c r="F28" s="11" t="s">
        <v>591</v>
      </c>
      <c r="G28" s="12">
        <v>520</v>
      </c>
      <c r="H28" s="12">
        <v>66</v>
      </c>
      <c r="I28" s="13">
        <f t="shared" si="0"/>
        <v>454</v>
      </c>
      <c r="J28" s="12">
        <v>151</v>
      </c>
      <c r="K28" s="12">
        <v>69</v>
      </c>
      <c r="L28" s="12">
        <v>12000</v>
      </c>
      <c r="M28" s="14">
        <f t="shared" si="1"/>
        <v>4.3333333333333335E-2</v>
      </c>
      <c r="N28" s="12">
        <v>257</v>
      </c>
      <c r="O28" s="12">
        <v>1019</v>
      </c>
      <c r="P28" s="12">
        <v>1</v>
      </c>
      <c r="Q28" s="12">
        <v>6</v>
      </c>
      <c r="R28" s="15">
        <v>2.78</v>
      </c>
      <c r="S28" s="16">
        <f t="shared" si="2"/>
        <v>1445.6</v>
      </c>
      <c r="T28" s="11" t="s">
        <v>56</v>
      </c>
      <c r="U28" s="17">
        <v>46249</v>
      </c>
      <c r="V28" s="17">
        <v>46255</v>
      </c>
      <c r="W28" s="11">
        <v>2</v>
      </c>
      <c r="X28" s="11">
        <v>5</v>
      </c>
      <c r="Y28" s="13" t="str">
        <f t="shared" si="3"/>
        <v>Healthy</v>
      </c>
    </row>
  </sheetData>
  <mergeCells count="2">
    <mergeCell ref="A1:Y1"/>
    <mergeCell ref="A2:Y2"/>
  </mergeCells>
  <conditionalFormatting sqref="Y5:Y28">
    <cfRule type="expression" dxfId="2" priority="2">
      <formula>Y5="Critical"</formula>
    </cfRule>
    <cfRule type="expression" dxfId="1" priority="3">
      <formula>Y5="Reorder"</formula>
    </cfRule>
    <cfRule type="expression" dxfId="0" priority="4">
      <formula>Y5="Healthy"</formula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1BBFD27749B499E4B1C26D5B24959" ma:contentTypeVersion="42" ma:contentTypeDescription="Create a new document." ma:contentTypeScope="" ma:versionID="79cb2d819fde9c260f2311966a33209e">
  <xsd:schema xmlns:xsd="http://www.w3.org/2001/XMLSchema" xmlns:xs="http://www.w3.org/2001/XMLSchema" xmlns:p="http://schemas.microsoft.com/office/2006/metadata/properties" xmlns:ns2="a710aecb-5b5e-4c6d-9d76-a695c2389b57" xmlns:ns3="1f3f8d0f-a6c1-42ef-a510-4dd2fd1520a5" targetNamespace="http://schemas.microsoft.com/office/2006/metadata/properties" ma:root="true" ma:fieldsID="1003568324072fe857fcfacea068f9a9" ns2:_="" ns3:_="">
    <xsd:import namespace="a710aecb-5b5e-4c6d-9d76-a695c2389b57"/>
    <xsd:import namespace="1f3f8d0f-a6c1-42ef-a510-4dd2fd1520a5"/>
    <xsd:element name="properties">
      <xsd:complexType>
        <xsd:sequence>
          <xsd:element name="documentManagement">
            <xsd:complexType>
              <xsd:all>
                <xsd:element ref="ns2:Phase" minOccurs="0"/>
                <xsd:element ref="ns2:Squad" minOccurs="0"/>
                <xsd:element ref="ns2:Document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StageTag" minOccurs="0"/>
                <xsd:element ref="ns2:Sector" minOccurs="0"/>
                <xsd:element ref="ns2:Specialty" minOccurs="0"/>
                <xsd:element ref="ns2:Sector0" minOccurs="0"/>
                <xsd:element ref="ns2:MediaServiceLocation" minOccurs="0"/>
                <xsd:element ref="ns2:OwnerPOD" minOccurs="0"/>
                <xsd:element ref="ns2:CurrentMaturity" minOccurs="0"/>
                <xsd:element ref="ns2:FutureProduct" minOccurs="0"/>
                <xsd:element ref="ns2:DeliveryPhase" minOccurs="0"/>
                <xsd:element ref="ns2:Sector1" minOccurs="0"/>
                <xsd:element ref="ns2:AssetOwner" minOccurs="0"/>
                <xsd:element ref="ns2:ReusabilityRating" minOccurs="0"/>
                <xsd:element ref="ns2:StrategicAsset" minOccurs="0"/>
                <xsd:element ref="ns2:Vendor" minOccurs="0"/>
                <xsd:element ref="ns2:Client_x002e_" minOccurs="0"/>
                <xsd:element ref="ns2:ReviewFrequency" minOccurs="0"/>
                <xsd:element ref="ns2:NextReviewDate" minOccurs="0"/>
                <xsd:element ref="ns2:MaturityLevel" minOccurs="0"/>
                <xsd:element ref="ns2:Tag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0aecb-5b5e-4c6d-9d76-a695c2389b57" elementFormDefault="qualified">
    <xsd:import namespace="http://schemas.microsoft.com/office/2006/documentManagement/types"/>
    <xsd:import namespace="http://schemas.microsoft.com/office/infopath/2007/PartnerControls"/>
    <xsd:element name="Phase" ma:index="8" nillable="true" ma:displayName="Phase" ma:format="Dropdown" ma:internalName="Phase">
      <xsd:simpleType>
        <xsd:restriction base="dms:Choice">
          <xsd:enumeration value="Discovery"/>
          <xsd:enumeration value="Alpha"/>
          <xsd:enumeration value="Beta"/>
        </xsd:restriction>
      </xsd:simpleType>
    </xsd:element>
    <xsd:element name="Squad" ma:index="9" nillable="true" ma:displayName="Squad" ma:format="Dropdown" ma:internalName="Squad">
      <xsd:simpleType>
        <xsd:restriction base="dms:Choice">
          <xsd:enumeration value="Intelligent Automation"/>
          <xsd:enumeration value="Process Intelligence"/>
          <xsd:enumeration value="Process Transformation"/>
        </xsd:restriction>
      </xsd:simpleType>
    </xsd:element>
    <xsd:element name="DocumentOwner" ma:index="10" nillable="true" ma:displayName="Document Owner" ma:format="Dropdown" ma:list="UserInfo" ma:SharePointGroup="0" ma:internalName="Documen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geTag" ma:index="24" nillable="true" ma:displayName="Asset Type" ma:format="Dropdown" ma:internalName="StageTag">
      <xsd:simpleType>
        <xsd:union memberTypes="dms:Text">
          <xsd:simpleType>
            <xsd:restriction base="dms:Choice">
              <xsd:enumeration value="Playbook"/>
              <xsd:enumeration value="Methodology"/>
              <xsd:enumeration value="Starter Pack"/>
              <xsd:enumeration value="Template"/>
              <xsd:enumeration value="Accelerator"/>
              <xsd:enumeration value="Proposal"/>
              <xsd:enumeration value="Credential"/>
              <xsd:enumeration value="Case Study"/>
              <xsd:enumeration value="Training"/>
              <xsd:enumeration value="Tool"/>
              <xsd:enumeration value="Reference Material"/>
              <xsd:enumeration value="Assessment"/>
              <xsd:enumeration value="Reporting"/>
              <xsd:enumeration value="Dashboard"/>
              <xsd:enumeration value="Process Model"/>
              <xsd:enumeration value="Guide"/>
              <xsd:enumeration value="Checklist"/>
            </xsd:restriction>
          </xsd:simpleType>
        </xsd:union>
      </xsd:simpleType>
    </xsd:element>
    <xsd:element name="Sector" ma:index="25" nillable="true" ma:displayName="Tech Partner" ma:format="Dropdown" ma:internalName="Sector">
      <xsd:simpleType>
        <xsd:union memberTypes="dms:Text">
          <xsd:simpleType>
            <xsd:restriction base="dms:Choice">
              <xsd:enumeration value="ALL"/>
              <xsd:enumeration value="Choice 2"/>
              <xsd:enumeration value="Choice 3"/>
            </xsd:restriction>
          </xsd:simpleType>
        </xsd:union>
      </xsd:simpleType>
    </xsd:element>
    <xsd:element name="Specialty" ma:index="26" nillable="true" ma:displayName="IPP Specialty" ma:format="Dropdown" ma:internalName="Specialty">
      <xsd:simpleType>
        <xsd:union memberTypes="dms:Text">
          <xsd:simpleType>
            <xsd:restriction base="dms:Choice">
              <xsd:enumeration value="BPM"/>
              <xsd:enumeration value="Modelling"/>
              <xsd:enumeration value="Architecture"/>
              <xsd:enumeration value="Enterprise Architecture"/>
              <xsd:enumeration value="Mining"/>
            </xsd:restriction>
          </xsd:simpleType>
        </xsd:union>
      </xsd:simpleType>
    </xsd:element>
    <xsd:element name="Sector0" ma:index="27" nillable="true" ma:displayName="Product Area" ma:format="Dropdown" ma:internalName="Sector0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PM"/>
                        <xsd:enumeration value="BMS"/>
                        <xsd:enumeration value="PI"/>
                        <xsd:enumeration value="Task Mining"/>
                        <xsd:enumeration value="Customer Journey Management"/>
                        <xsd:enumeration value="Gen AI"/>
                        <xsd:enumeration value="Choice 7"/>
                        <xsd:enumeration value="Digital Core"/>
                        <xsd:enumeration value="Cross Capabilit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OwnerPOD" ma:index="29" nillable="true" ma:displayName="Owner POD" ma:format="Dropdown" ma:internalName="OwnerPOD">
      <xsd:simpleType>
        <xsd:union memberTypes="dms:Text">
          <xsd:simpleType>
            <xsd:restriction base="dms:Choice">
              <xsd:enumeration value="Solution Design"/>
              <xsd:enumeration value="Growth"/>
              <xsd:enumeration value="People"/>
              <xsd:enumeration value="Ops"/>
              <xsd:enumeration value="Cross POD"/>
            </xsd:restriction>
          </xsd:simpleType>
        </xsd:union>
      </xsd:simpleType>
    </xsd:element>
    <xsd:element name="CurrentMaturity" ma:index="30" nillable="true" ma:displayName="Life Cycle status" ma:format="Dropdown" ma:internalName="CurrentMaturity">
      <xsd:simpleType>
        <xsd:union memberTypes="dms:Text">
          <xsd:simpleType>
            <xsd:restriction base="dms:Choice">
              <xsd:enumeration value="Draft"/>
              <xsd:enumeration value="In Review"/>
              <xsd:enumeration value="Published"/>
              <xsd:enumeration value="Strategic"/>
              <xsd:enumeration value="Deprecated"/>
              <xsd:enumeration value="Archive Candidate"/>
              <xsd:enumeration value="Archived"/>
            </xsd:restriction>
          </xsd:simpleType>
        </xsd:union>
      </xsd:simpleType>
    </xsd:element>
    <xsd:element name="FutureProduct" ma:index="31" nillable="true" ma:displayName="Service Offer" ma:format="Dropdown" ma:internalName="FutureProduct">
      <xsd:simpleType>
        <xsd:union memberTypes="dms:Text">
          <xsd:simpleType>
            <xsd:restriction base="dms:Choice">
              <xsd:enumeration value="Process Mining"/>
              <xsd:enumeration value="BMS"/>
              <xsd:enumeration value="Process Intelligence Diagnostic"/>
              <xsd:enumeration value="Process Discovery"/>
              <xsd:enumeration value="Task Mining"/>
              <xsd:enumeration value="Customer Journey Management"/>
              <xsd:enumeration value="Digital Core"/>
              <xsd:enumeration value="Centre of Excellence"/>
              <xsd:enumeration value="Process Transformation"/>
            </xsd:restriction>
          </xsd:simpleType>
        </xsd:union>
      </xsd:simpleType>
    </xsd:element>
    <xsd:element name="DeliveryPhase" ma:index="32" nillable="true" ma:displayName="Delivery Phase" ma:format="Dropdown" ma:internalName="DeliveryPhase">
      <xsd:simpleType>
        <xsd:restriction base="dms:Choice">
          <xsd:enumeration value="Pre-Sales"/>
          <xsd:enumeration value="Align &amp; Frame"/>
          <xsd:enumeration value="Discovery AS-IS"/>
          <xsd:enumeration value="Analyse"/>
          <xsd:enumeration value="Design TO-BE"/>
          <xsd:enumeration value="Delivery &amp; Monitoring"/>
          <xsd:enumeration value="Continuous Improvement"/>
          <xsd:enumeration value="Multiple Phases"/>
          <xsd:enumeration value="Not Applicable"/>
        </xsd:restriction>
      </xsd:simpleType>
    </xsd:element>
    <xsd:element name="Sector1" ma:index="33" nillable="true" ma:displayName="Sector" ma:format="Dropdown" ma:internalName="Sector1">
      <xsd:simpleType>
        <xsd:restriction base="dms:Choice">
          <xsd:enumeration value="Public Sector"/>
          <xsd:enumeration value="Energy &amp; Utilities"/>
          <xsd:enumeration value="Financial Services"/>
          <xsd:enumeration value="Manufacturing"/>
          <xsd:enumeration value="CPRD"/>
          <xsd:enumeration value="Supply Chain"/>
          <xsd:enumeration value="Retail"/>
          <xsd:enumeration value="Healthcare"/>
          <xsd:enumeration value="Aerospace &amp; Defence"/>
          <xsd:enumeration value="Cross Sector"/>
        </xsd:restriction>
      </xsd:simpleType>
    </xsd:element>
    <xsd:element name="AssetOwner" ma:index="34" nillable="true" ma:displayName="Asset Owner" ma:format="Dropdown" ma:list="UserInfo" ma:SharePointGroup="0" ma:internalName="Asse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usabilityRating" ma:index="35" nillable="true" ma:displayName="Reusability Rating" ma:format="Dropdown" ma:internalName="ReusabilityRating">
      <xsd:simpleType>
        <xsd:restriction base="dms:Choice">
          <xsd:enumeration value="High"/>
          <xsd:enumeration value="Medium"/>
          <xsd:enumeration value="Low"/>
          <xsd:enumeration value="Client Spercific"/>
        </xsd:restriction>
      </xsd:simpleType>
    </xsd:element>
    <xsd:element name="StrategicAsset" ma:index="36" nillable="true" ma:displayName="Strategic Asset" ma:default="0" ma:format="Dropdown" ma:internalName="StrategicAsset">
      <xsd:simpleType>
        <xsd:restriction base="dms:Boolean"/>
      </xsd:simpleType>
    </xsd:element>
    <xsd:element name="Vendor" ma:index="37" nillable="true" ma:displayName="Vendor" ma:format="Dropdown" ma:internalName="Vendor">
      <xsd:simpleType>
        <xsd:union memberTypes="dms:Text">
          <xsd:simpleType>
            <xsd:restriction base="dms:Choice">
              <xsd:enumeration value="Celonis"/>
              <xsd:enumeration value="SAP Signavio"/>
              <xsd:enumeration value="ARIS"/>
              <xsd:enumeration value="Apromore"/>
              <xsd:enumeration value="Appian"/>
              <xsd:enumeration value="Mindzie"/>
              <xsd:enumeration value="ServiceNow"/>
              <xsd:enumeration value="Microsoft"/>
              <xsd:enumeration value="Multiple Vendors"/>
              <xsd:enumeration value="Not Applicable"/>
              <xsd:enumeration value="Choice 10"/>
              <xsd:enumeration value="Choice 11"/>
              <xsd:enumeration value="Choice 12"/>
            </xsd:restriction>
          </xsd:simpleType>
        </xsd:union>
      </xsd:simpleType>
    </xsd:element>
    <xsd:element name="Client_x002e_" ma:index="38" nillable="true" ma:displayName="Client" ma:format="Dropdown" ma:internalName="Client_x002e_">
      <xsd:simpleType>
        <xsd:union memberTypes="dms:Text">
          <xsd:simpleType>
            <xsd:restriction base="dms:Choice">
              <xsd:enumeration value="Home Office"/>
              <xsd:enumeration value="DEFRA"/>
              <xsd:enumeration value="Urenco"/>
              <xsd:enumeration value="HSBC"/>
              <xsd:enumeration value="SLC"/>
              <xsd:enumeration value="Aptiv"/>
              <xsd:enumeration value="Allianz"/>
            </xsd:restriction>
          </xsd:simpleType>
        </xsd:union>
      </xsd:simpleType>
    </xsd:element>
    <xsd:element name="ReviewFrequency" ma:index="39" nillable="true" ma:displayName="Review Frequency" ma:format="Dropdown" ma:internalName="ReviewFrequency">
      <xsd:simpleType>
        <xsd:restriction base="dms:Choice">
          <xsd:enumeration value="Quarterly"/>
          <xsd:enumeration value="6 Monthly"/>
          <xsd:enumeration value="Annual"/>
          <xsd:enumeration value="Biannual"/>
          <xsd:enumeration value="Archive Only"/>
        </xsd:restriction>
      </xsd:simpleType>
    </xsd:element>
    <xsd:element name="NextReviewDate" ma:index="40" nillable="true" ma:displayName="Next Review Date" ma:format="DateOnly" ma:internalName="NextReviewDate">
      <xsd:simpleType>
        <xsd:restriction base="dms:DateTime"/>
      </xsd:simpleType>
    </xsd:element>
    <xsd:element name="MaturityLevel" ma:index="41" nillable="true" ma:displayName="Maturity Level" ma:format="Dropdown" ma:internalName="MaturityLevel">
      <xsd:simpleType>
        <xsd:restriction base="dms:Choice">
          <xsd:enumeration value="Concept"/>
          <xsd:enumeration value="Pilot"/>
          <xsd:enumeration value="Developing"/>
          <xsd:enumeration value="Established"/>
          <xsd:enumeration value="Strategic"/>
        </xsd:restriction>
      </xsd:simpleType>
    </xsd:element>
    <xsd:element name="Tags0" ma:index="42" nillable="true" ma:displayName="Tags" ma:format="Dropdown" ma:internalName="Tags0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hoice 1"/>
                        <xsd:enumeration value="Choice 2"/>
                        <xsd:enumeration value="Choice 3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f8d0f-a6c1-42ef-a510-4dd2fd1520a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e39e62-3eef-4ea1-a451-d40ee7b95c32}" ma:internalName="TaxCatchAll" ma:showField="CatchAllData" ma:web="1f3f8d0f-a6c1-42ef-a510-4dd2fd1520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3f8d0f-a6c1-42ef-a510-4dd2fd1520a5" xsi:nil="true"/>
    <Sector0 xmlns="a710aecb-5b5e-4c6d-9d76-a695c2389b57" xsi:nil="true"/>
    <Specialty xmlns="a710aecb-5b5e-4c6d-9d76-a695c2389b57" xsi:nil="true"/>
    <lcf76f155ced4ddcb4097134ff3c332f xmlns="a710aecb-5b5e-4c6d-9d76-a695c2389b57">
      <Terms xmlns="http://schemas.microsoft.com/office/infopath/2007/PartnerControls"/>
    </lcf76f155ced4ddcb4097134ff3c332f>
    <Squad xmlns="a710aecb-5b5e-4c6d-9d76-a695c2389b57" xsi:nil="true"/>
    <StageTag xmlns="a710aecb-5b5e-4c6d-9d76-a695c2389b57" xsi:nil="true"/>
    <Phase xmlns="a710aecb-5b5e-4c6d-9d76-a695c2389b57" xsi:nil="true"/>
    <DocumentOwner xmlns="a710aecb-5b5e-4c6d-9d76-a695c2389b57">
      <UserInfo>
        <DisplayName/>
        <AccountId xsi:nil="true"/>
        <AccountType/>
      </UserInfo>
    </DocumentOwner>
    <Sector xmlns="a710aecb-5b5e-4c6d-9d76-a695c2389b57" xsi:nil="true"/>
    <ReusabilityRating xmlns="a710aecb-5b5e-4c6d-9d76-a695c2389b57" xsi:nil="true"/>
    <Tags0 xmlns="a710aecb-5b5e-4c6d-9d76-a695c2389b57" xsi:nil="true"/>
    <Sector1 xmlns="a710aecb-5b5e-4c6d-9d76-a695c2389b57" xsi:nil="true"/>
    <MaturityLevel xmlns="a710aecb-5b5e-4c6d-9d76-a695c2389b57" xsi:nil="true"/>
    <OwnerPOD xmlns="a710aecb-5b5e-4c6d-9d76-a695c2389b57" xsi:nil="true"/>
    <ReviewFrequency xmlns="a710aecb-5b5e-4c6d-9d76-a695c2389b57" xsi:nil="true"/>
    <FutureProduct xmlns="a710aecb-5b5e-4c6d-9d76-a695c2389b57" xsi:nil="true"/>
    <Client_x002e_ xmlns="a710aecb-5b5e-4c6d-9d76-a695c2389b57" xsi:nil="true"/>
    <DeliveryPhase xmlns="a710aecb-5b5e-4c6d-9d76-a695c2389b57" xsi:nil="true"/>
    <Vendor xmlns="a710aecb-5b5e-4c6d-9d76-a695c2389b57" xsi:nil="true"/>
    <CurrentMaturity xmlns="a710aecb-5b5e-4c6d-9d76-a695c2389b57" xsi:nil="true"/>
    <AssetOwner xmlns="a710aecb-5b5e-4c6d-9d76-a695c2389b57">
      <UserInfo>
        <DisplayName/>
        <AccountId xsi:nil="true"/>
        <AccountType/>
      </UserInfo>
    </AssetOwner>
    <StrategicAsset xmlns="a710aecb-5b5e-4c6d-9d76-a695c2389b57">false</StrategicAsset>
    <NextReviewDate xmlns="a710aecb-5b5e-4c6d-9d76-a695c2389b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490634-F5E3-44AA-988D-17492A251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0aecb-5b5e-4c6d-9d76-a695c2389b57"/>
    <ds:schemaRef ds:uri="1f3f8d0f-a6c1-42ef-a510-4dd2fd1520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63AC5B-E0C9-4F4C-A221-6A4C1509A124}">
  <ds:schemaRefs>
    <ds:schemaRef ds:uri="http://www.w3.org/XML/1998/namespace"/>
    <ds:schemaRef ds:uri="1f3f8d0f-a6c1-42ef-a510-4dd2fd1520a5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710aecb-5b5e-4c6d-9d76-a695c2389b57"/>
  </ds:schemaRefs>
</ds:datastoreItem>
</file>

<file path=customXml/itemProps3.xml><?xml version="1.0" encoding="utf-8"?>
<ds:datastoreItem xmlns:ds="http://schemas.openxmlformats.org/officeDocument/2006/customXml" ds:itemID="{BE653E64-0D29-4524-8C9A-1BB7BFA25CF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London DC</vt:lpstr>
      <vt:lpstr>Birmingham Hub</vt:lpstr>
      <vt:lpstr>Manchester Depot</vt:lpstr>
      <vt:lpstr>Leeds Warehouse</vt:lpstr>
      <vt:lpstr>Bristol Centre</vt:lpstr>
      <vt:lpstr>Glasgow Hub</vt:lpstr>
      <vt:lpstr>Cardiff Depot</vt:lpstr>
      <vt:lpstr>Nottingham Warehouse</vt:lpstr>
      <vt:lpstr>Southampton Centre</vt:lpstr>
      <vt:lpstr>Newcastle Hub</vt:lpstr>
      <vt:lpstr>'Birmingham Hub'!Print_Titles</vt:lpstr>
      <vt:lpstr>'Bristol Centre'!Print_Titles</vt:lpstr>
      <vt:lpstr>'Cardiff Depot'!Print_Titles</vt:lpstr>
      <vt:lpstr>'Glasgow Hub'!Print_Titles</vt:lpstr>
      <vt:lpstr>'Leeds Warehouse'!Print_Titles</vt:lpstr>
      <vt:lpstr>'London DC'!Print_Titles</vt:lpstr>
      <vt:lpstr>'Manchester Depot'!Print_Titles</vt:lpstr>
      <vt:lpstr>'Newcastle Hub'!Print_Titles</vt:lpstr>
      <vt:lpstr>'Nottingham Warehouse'!Print_Titles</vt:lpstr>
      <vt:lpstr>'Southampton Centre'!Print_Titles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Mohsin</dc:creator>
  <cp:keywords/>
  <dc:description/>
  <cp:lastModifiedBy>Ahura, Darren</cp:lastModifiedBy>
  <cp:revision>0</cp:revision>
  <dcterms:created xsi:type="dcterms:W3CDTF">2026-08-21T11:55:35Z</dcterms:created>
  <dcterms:modified xsi:type="dcterms:W3CDTF">2026-10-07T16:42:07Z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0x010100B5E1BBFD27749B499E4B1C26D5B24959</vt:lpwstr>
  </property>
  <property fmtid="{D5CDD505-2E9C-101B-9397-08002B2CF9AE}" pid="3" name="MediaServiceImageTags">
    <vt:lpwstr/>
  </property>
</Properties>
</file>